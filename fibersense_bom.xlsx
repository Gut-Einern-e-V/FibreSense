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 BOM" sheetId="1" state="visible" r:id="rId3"/>
    <sheet name="Order Plan" sheetId="2" state="visible" r:id="rId4"/>
    <sheet name="FAB-Lab Equipment" sheetId="3" state="visible" r:id="rId5"/>
    <sheet name="Cos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<sst xmlns="http://schemas.openxmlformats.org/spreadsheetml/2006/main" count="692" uniqueCount="498">
  <si>
    <t xml:space="preserve">FiberSense — Complete Bill of Materials  |  2026 Pricing  |  Single Device Build</t>
  </si>
  <si>
    <t xml:space="preserve">Prices in EUR incl. estimated shipping. Green = JLCPCB/LCSC direct. Orange = long lead / special order. +30% backup qty included in totals.</t>
  </si>
  <si>
    <t xml:space="preserve">#</t>
  </si>
  <si>
    <t xml:space="preserve">Component</t>
  </si>
  <si>
    <t xml:space="preserve">MPN / Variant</t>
  </si>
  <si>
    <t xml:space="preserve">Description</t>
  </si>
  <si>
    <t xml:space="preserve">Qty (build)</t>
  </si>
  <si>
    <t xml:space="preserve">Qty (backup)</t>
  </si>
  <si>
    <t xml:space="preserve">Qty (order)</t>
  </si>
  <si>
    <t xml:space="preserve">Unit price (€)</t>
  </si>
  <si>
    <t xml:space="preserve">Subtotal (€)</t>
  </si>
  <si>
    <t xml:space="preserve">Source</t>
  </si>
  <si>
    <t xml:space="preserve">LCSC #</t>
  </si>
  <si>
    <t xml:space="preserve">Lead time</t>
  </si>
  <si>
    <t xml:space="preserve">Notes</t>
  </si>
  <si>
    <t xml:space="preserve">1 · BRAIN BOARD — Waveshare RP2040-Touch-LCD-1.28</t>
  </si>
  <si>
    <t xml:space="preserve">1.1</t>
  </si>
  <si>
    <t xml:space="preserve">Waveshare RP2040-Touch-LCD-1.28</t>
  </si>
  <si>
    <t xml:space="preserve">RP2040-Touch-LCD-1.28</t>
  </si>
  <si>
    <t xml:space="preserve">RP2040 + 1.28" round IPS 240×240 touch + QMI8658C IMU + LiPo charger + USB-C</t>
  </si>
  <si>
    <t xml:space="preserve">Eckstein / Waveshare direct</t>
  </si>
  <si>
    <t xml:space="preserve">—</t>
  </si>
  <si>
    <t xml:space="preserve">3–5 days</t>
  </si>
  <si>
    <t xml:space="preserve">Touch variant. Backup = 1 extra.</t>
  </si>
  <si>
    <t xml:space="preserve">1.2</t>
  </si>
  <si>
    <t xml:space="preserve">LiPo battery 400mAh</t>
  </si>
  <si>
    <t xml:space="preserve">802535 400mAh JST MX1.25</t>
  </si>
  <si>
    <t xml:space="preserve">3.7V 400mAh, MX1.25 2-pin, fits Waveshare header</t>
  </si>
  <si>
    <t xml:space="preserve">AliExpress / Reichelt</t>
  </si>
  <si>
    <t xml:space="preserve">5–14 days</t>
  </si>
  <si>
    <t xml:space="preserve">Check polarity before connecting!</t>
  </si>
  <si>
    <t xml:space="preserve">1.3</t>
  </si>
  <si>
    <t xml:space="preserve">Micro-SD card 8GB</t>
  </si>
  <si>
    <t xml:space="preserve">Any Class 10 8GB</t>
  </si>
  <si>
    <t xml:space="preserve">For reference spectra + scan log storage</t>
  </si>
  <si>
    <t xml:space="preserve">Local / Amazon</t>
  </si>
  <si>
    <t xml:space="preserve">2–3 days</t>
  </si>
  <si>
    <t xml:space="preserve">FAT32 formatted. 2+ backup recommended for workshops.</t>
  </si>
  <si>
    <t xml:space="preserve">1.4</t>
  </si>
  <si>
    <t xml:space="preserve">USB-C cable data</t>
  </si>
  <si>
    <t xml:space="preserve">USB-C ↔ USB-A 1m</t>
  </si>
  <si>
    <t xml:space="preserve">Programming + serial monitor</t>
  </si>
  <si>
    <t xml:space="preserve">Amazon</t>
  </si>
  <si>
    <t xml:space="preserve">Subtotal section 1</t>
  </si>
  <si>
    <t xml:space="preserve">2 · SENSOR PCB — JLCPCB assembled (SMD)</t>
  </si>
  <si>
    <t xml:space="preserve">2.1</t>
  </si>
  <si>
    <t xml:space="preserve">ADS1256IDBT 24-bit ADC</t>
  </si>
  <si>
    <t xml:space="preserve">ADS1256IDBT (TI) SSOP-16</t>
  </si>
  <si>
    <t xml:space="preserve">24-bit Delta-Sigma ADC, 30kSPS, 8-ch, SPI. Core of NIR measurement.</t>
  </si>
  <si>
    <t xml:space="preserve">JLCPCB Global Part</t>
  </si>
  <si>
    <t xml:space="preserve">C701629</t>
  </si>
  <si>
    <t xml:space="preserve">5–9 days (Global)</t>
  </si>
  <si>
    <t xml:space="preserve">⚠ Global Part: +€3 surcharge per order, order min 5 pcs.</t>
  </si>
  <si>
    <t xml:space="preserve">2.2</t>
  </si>
  <si>
    <t xml:space="preserve">OPA2381AIDR TIA op-amp</t>
  </si>
  <si>
    <t xml:space="preserve">OPA2381AIDR SOT-23-5</t>
  </si>
  <si>
    <t xml:space="preserve">Low-noise TIA for InGaAs photodiode signal amplification</t>
  </si>
  <si>
    <t xml:space="preserve">LCSC</t>
  </si>
  <si>
    <t xml:space="preserve">C7484</t>
  </si>
  <si>
    <t xml:space="preserve">In stock</t>
  </si>
  <si>
    <t xml:space="preserve">2.3</t>
  </si>
  <si>
    <t xml:space="preserve">74HC4051D 8:1 mux</t>
  </si>
  <si>
    <t xml:space="preserve">74HC4051D SOIC-16</t>
  </si>
  <si>
    <t xml:space="preserve">Analog multiplexer for LED sequencing</t>
  </si>
  <si>
    <t xml:space="preserve">C6051</t>
  </si>
  <si>
    <t xml:space="preserve">2.4</t>
  </si>
  <si>
    <t xml:space="preserve">BSS138 N-MOSFET</t>
  </si>
  <si>
    <t xml:space="preserve">BSS138 SOT-23</t>
  </si>
  <si>
    <t xml:space="preserve">LED current switching (×8 on PCB)</t>
  </si>
  <si>
    <t xml:space="preserve">C112114</t>
  </si>
  <si>
    <t xml:space="preserve">Order 20, use 8+8 backup</t>
  </si>
  <si>
    <t xml:space="preserve">2.5</t>
  </si>
  <si>
    <t xml:space="preserve">Micro-SD SMD holder</t>
  </si>
  <si>
    <t xml:space="preserve">HYC80-TF08-375 or equiv.</t>
  </si>
  <si>
    <t xml:space="preserve">SPI SD card socket, push-push</t>
  </si>
  <si>
    <t xml:space="preserve">C91145</t>
  </si>
  <si>
    <t xml:space="preserve">2.6</t>
  </si>
  <si>
    <t xml:space="preserve">Resistor 10MΩ 0603</t>
  </si>
  <si>
    <t xml:space="preserve">10M 1% 0603</t>
  </si>
  <si>
    <t xml:space="preserve">TIA feedback resistor</t>
  </si>
  <si>
    <t xml:space="preserve">2.7</t>
  </si>
  <si>
    <t xml:space="preserve">Resistor 33Ω 0603</t>
  </si>
  <si>
    <t xml:space="preserve">33R 1% 0603</t>
  </si>
  <si>
    <t xml:space="preserve">LED current limit (×8)</t>
  </si>
  <si>
    <t xml:space="preserve">Buy 50 reel</t>
  </si>
  <si>
    <t xml:space="preserve">2.8</t>
  </si>
  <si>
    <t xml:space="preserve">Resistor 10kΩ 0603</t>
  </si>
  <si>
    <t xml:space="preserve">10k 1% 0603</t>
  </si>
  <si>
    <t xml:space="preserve">I2C pull-ups + button</t>
  </si>
  <si>
    <t xml:space="preserve">2.9</t>
  </si>
  <si>
    <t xml:space="preserve">Resistor 100kΩ 0603</t>
  </si>
  <si>
    <t xml:space="preserve">100k 1% 0603</t>
  </si>
  <si>
    <t xml:space="preserve">LiPo voltage divider (×2)</t>
  </si>
  <si>
    <t xml:space="preserve">2.10</t>
  </si>
  <si>
    <t xml:space="preserve">Cap 100nF 0603 16V</t>
  </si>
  <si>
    <t xml:space="preserve">100nF X7R 0603</t>
  </si>
  <si>
    <t xml:space="preserve">Bypass decoupling (×8)</t>
  </si>
  <si>
    <t xml:space="preserve">2.11</t>
  </si>
  <si>
    <t xml:space="preserve">Cap 10pF 0603</t>
  </si>
  <si>
    <t xml:space="preserve">10pF C0G 0603</t>
  </si>
  <si>
    <t xml:space="preserve">TIA stability cap</t>
  </si>
  <si>
    <t xml:space="preserve">2.12</t>
  </si>
  <si>
    <t xml:space="preserve">Cap 10µF 0805 10V</t>
  </si>
  <si>
    <t xml:space="preserve">10µF X5R 0805</t>
  </si>
  <si>
    <t xml:space="preserve">Bulk decoupling (×3)</t>
  </si>
  <si>
    <t xml:space="preserve">2.13</t>
  </si>
  <si>
    <t xml:space="preserve">1.27mm pin header 20p</t>
  </si>
  <si>
    <t xml:space="preserve">1.27mm 2×10 female SMD</t>
  </si>
  <si>
    <t xml:space="preserve">Connection to Waveshare board</t>
  </si>
  <si>
    <t xml:space="preserve">Check height for stacking</t>
  </si>
  <si>
    <t xml:space="preserve">2.14</t>
  </si>
  <si>
    <t xml:space="preserve">PCB fabrication (JLCPCB)</t>
  </si>
  <si>
    <t xml:space="preserve">5pcs 2-layer FR4</t>
  </si>
  <si>
    <t xml:space="preserve">5× PCBs, 2-layer, 1.6mm, HASL, green</t>
  </si>
  <si>
    <t xml:space="preserve">JLCPCB</t>
  </si>
  <si>
    <t xml:space="preserve">~€2 for 5 pcs; use all 5 as build stock</t>
  </si>
  <si>
    <t xml:space="preserve">2.15</t>
  </si>
  <si>
    <t xml:space="preserve">JLCPCB SMT assembly</t>
  </si>
  <si>
    <t xml:space="preserve">Economic assembly</t>
  </si>
  <si>
    <t xml:space="preserve">Assembly fee for SMD components above (2.1–2.13)</t>
  </si>
  <si>
    <t xml:space="preserve">5–7 days</t>
  </si>
  <si>
    <t xml:space="preserve">Est. ~€18 assembly + ~€3 ADS1256 Global surcharge = ~€21 total assembly</t>
  </si>
  <si>
    <t xml:space="preserve">2.16</t>
  </si>
  <si>
    <t xml:space="preserve">JLCPCB shipping (PCB+SMT)</t>
  </si>
  <si>
    <t xml:space="preserve">DHL to EU</t>
  </si>
  <si>
    <t xml:space="preserve">Shipping from JLCPCB</t>
  </si>
  <si>
    <t xml:space="preserve">7–12 days total</t>
  </si>
  <si>
    <t xml:space="preserve">Express DHL recommended</t>
  </si>
  <si>
    <t xml:space="preserve">Subtotal section 2</t>
  </si>
  <si>
    <t xml:space="preserve">3 · SENSOR PCB — hand-soldered components (THT + special)</t>
  </si>
  <si>
    <t xml:space="preserve">3.1</t>
  </si>
  <si>
    <t xml:space="preserve">Hamamatsu G8370-03 InGaAs PD</t>
  </si>
  <si>
    <t xml:space="preserve">G8370-03 (Hamamatsu)</t>
  </si>
  <si>
    <t xml:space="preserve">InGaAs PIN photodiode 0.9–1.7µm, φ3mm, TO-18. Core NIR detector.</t>
  </si>
  <si>
    <t xml:space="preserve">Mouser / Hamamatsu EU direct</t>
  </si>
  <si>
    <t xml:space="preserve">2–4 weeks ⚠</t>
  </si>
  <si>
    <t xml:space="preserve">ORDER FIRST. Single unit ~€22. eu-sales@hamamatsu.com or mouser.de</t>
  </si>
  <si>
    <t xml:space="preserve">3.2</t>
  </si>
  <si>
    <t xml:space="preserve">NIR LED 940nm</t>
  </si>
  <si>
    <t xml:space="preserve">Vishay VSLY3940 5mm</t>
  </si>
  <si>
    <t xml:space="preserve">940nm NIR LED, 5mm THT, baseline measurement</t>
  </si>
  <si>
    <t xml:space="preserve">LCSC / Mouser</t>
  </si>
  <si>
    <t xml:space="preserve">3.3</t>
  </si>
  <si>
    <t xml:space="preserve">NIR LED 1050nm</t>
  </si>
  <si>
    <t xml:space="preserve">Roithner ELD-1050-525</t>
  </si>
  <si>
    <t xml:space="preserve">1050nm 5mm THT, C–H first overtone</t>
  </si>
  <si>
    <t xml:space="preserve">Roithner Lasertechnik</t>
  </si>
  <si>
    <t xml:space="preserve">1–2 weeks</t>
  </si>
  <si>
    <t xml:space="preserve">sales@roithner-laser.com — order all LEDs in one email</t>
  </si>
  <si>
    <t xml:space="preserve">3.4</t>
  </si>
  <si>
    <t xml:space="preserve">NIR LED 1200nm</t>
  </si>
  <si>
    <t xml:space="preserve">Roithner ELD-1200-525</t>
  </si>
  <si>
    <t xml:space="preserve">1200nm 5mm THT — C–H (PET strong)</t>
  </si>
  <si>
    <t xml:space="preserve">See 3.3</t>
  </si>
  <si>
    <t xml:space="preserve">3.5</t>
  </si>
  <si>
    <t xml:space="preserve">NIR LED 1300nm</t>
  </si>
  <si>
    <t xml:space="preserve">Roithner ELD-1300-525</t>
  </si>
  <si>
    <t xml:space="preserve">1300nm 5mm THT — inter-band baseline</t>
  </si>
  <si>
    <t xml:space="preserve">3.6</t>
  </si>
  <si>
    <t xml:space="preserve">NIR LED 1450nm</t>
  </si>
  <si>
    <t xml:space="preserve">Roithner ELD-1450-525</t>
  </si>
  <si>
    <t xml:space="preserve">1450nm 5mm THT — O–H stretch (cotton/wool diagnostic)</t>
  </si>
  <si>
    <t xml:space="preserve">3.7</t>
  </si>
  <si>
    <t xml:space="preserve">NIR LED 1550nm</t>
  </si>
  <si>
    <t xml:space="preserve">Roithner ELD-1550-525</t>
  </si>
  <si>
    <t xml:space="preserve">1550nm 5mm THT — C–H/C–O (nylon)</t>
  </si>
  <si>
    <t xml:space="preserve">3.8</t>
  </si>
  <si>
    <t xml:space="preserve">NIR LED 1600nm</t>
  </si>
  <si>
    <t xml:space="preserve">Roithner ELD-1600-525</t>
  </si>
  <si>
    <t xml:space="preserve">1600nm 5mm THT — N–H (wool, nylon)</t>
  </si>
  <si>
    <t xml:space="preserve">3.9</t>
  </si>
  <si>
    <t xml:space="preserve">NIR LED 1650nm</t>
  </si>
  <si>
    <t xml:space="preserve">Roithner ELD-1650-525</t>
  </si>
  <si>
    <t xml:space="preserve">1650nm 5mm THT — C–H second overtone (all synthetics)</t>
  </si>
  <si>
    <t xml:space="preserve">3.10</t>
  </si>
  <si>
    <t xml:space="preserve">Roithner shipping (EU)</t>
  </si>
  <si>
    <t xml:space="preserve">Shipping from Roithner Lasertechnik Wien → EU</t>
  </si>
  <si>
    <t xml:space="preserve">Flat ~€8 shipping EU. Order all LEDs in one order.</t>
  </si>
  <si>
    <t xml:space="preserve">3.11</t>
  </si>
  <si>
    <t xml:space="preserve">AS7265x Triad breakout</t>
  </si>
  <si>
    <t xml:space="preserve">SparkFun SEN-15050</t>
  </si>
  <si>
    <t xml:space="preserve">18-channel VIS/NIR breakout, for learn mode. Optional if measure-only build.</t>
  </si>
  <si>
    <t xml:space="preserve">SparkFun / Mouser</t>
  </si>
  <si>
    <t xml:space="preserve">5–10 days</t>
  </si>
  <si>
    <t xml:space="preserve">Optional for learn mode. Solder on 1.27mm header to sensor PCB.</t>
  </si>
  <si>
    <t xml:space="preserve">Subtotal section 3</t>
  </si>
  <si>
    <t xml:space="preserve">4 · ENCLOSURE &amp; MECHANICS</t>
  </si>
  <si>
    <t xml:space="preserve">4.1</t>
  </si>
  <si>
    <t xml:space="preserve">PETG filament black 250g</t>
  </si>
  <si>
    <t xml:space="preserve">Any PETG 1.75mm black</t>
  </si>
  <si>
    <t xml:space="preserve">Sensor hat (light-tight) — must be black PETG for opacity</t>
  </si>
  <si>
    <t xml:space="preserve">Local FabLab / Amazon</t>
  </si>
  <si>
    <t xml:space="preserve">~30g per device. 250g spool for ~8 devices.</t>
  </si>
  <si>
    <t xml:space="preserve">4.2</t>
  </si>
  <si>
    <t xml:space="preserve">PLA filament (body) 250g</t>
  </si>
  <si>
    <t xml:space="preserve">Any PLA 1.75mm</t>
  </si>
  <si>
    <t xml:space="preserve">Enclosure body — any color</t>
  </si>
  <si>
    <t xml:space="preserve">Local FabLab</t>
  </si>
  <si>
    <t xml:space="preserve">~50g per device</t>
  </si>
  <si>
    <t xml:space="preserve">4.3</t>
  </si>
  <si>
    <t xml:space="preserve">M2×6 screw stainless (×8)</t>
  </si>
  <si>
    <t xml:space="preserve">M2×6 ISO 4762</t>
  </si>
  <si>
    <t xml:space="preserve">PCB standoffs + enclosure assembly</t>
  </si>
  <si>
    <t xml:space="preserve">Local hardware / Amazon</t>
  </si>
  <si>
    <t xml:space="preserve">4.4</t>
  </si>
  <si>
    <t xml:space="preserve">M2 brass heat-set insert (×4)</t>
  </si>
  <si>
    <t xml:space="preserve">M2×3×3.5 knurled</t>
  </si>
  <si>
    <t xml:space="preserve">For lid–body connection</t>
  </si>
  <si>
    <t xml:space="preserve">Amazon / AliExpress</t>
  </si>
  <si>
    <t xml:space="preserve">4.5</t>
  </si>
  <si>
    <t xml:space="preserve">PTFE calibration card</t>
  </si>
  <si>
    <t xml:space="preserve">White PTFE sheet ~30×30mm</t>
  </si>
  <si>
    <t xml:space="preserve">White reference for calibration. Must be diffuse, not glossy.</t>
  </si>
  <si>
    <t xml:space="preserve">AliExpress / Amazon</t>
  </si>
  <si>
    <t xml:space="preserve">Folded white copier paper (4 layers) also works for workshops</t>
  </si>
  <si>
    <t xml:space="preserve">4.6</t>
  </si>
  <si>
    <t xml:space="preserve">Black felt / cloth</t>
  </si>
  <si>
    <t xml:space="preserve">50×50mm black matte</t>
  </si>
  <si>
    <t xml:space="preserve">Dark reference calibration cover + interior lining of sensor hat</t>
  </si>
  <si>
    <t xml:space="preserve">Fabric store / local</t>
  </si>
  <si>
    <t xml:space="preserve">4.7</t>
  </si>
  <si>
    <t xml:space="preserve">Foam tape double-sided 2mm</t>
  </si>
  <si>
    <t xml:space="preserve">3M VHB or equiv.</t>
  </si>
  <si>
    <t xml:space="preserve">PCB mounting in enclosure</t>
  </si>
  <si>
    <t xml:space="preserve">Local hardware</t>
  </si>
  <si>
    <t xml:space="preserve">Subtotal section 4</t>
  </si>
  <si>
    <t xml:space="preserve">5 · TEXTILE REFERENCE SAMPLES (for classifier training)</t>
  </si>
  <si>
    <t xml:space="preserve">5.1</t>
  </si>
  <si>
    <t xml:space="preserve">Cotton 100% fabric samples</t>
  </si>
  <si>
    <t xml:space="preserve">&gt;5 different colors/weights</t>
  </si>
  <si>
    <t xml:space="preserve">Pure cotton fabric, manufacturer label required. Different colors + weights.</t>
  </si>
  <si>
    <t xml:space="preserve">Fabric store / recycler</t>
  </si>
  <si>
    <t xml:space="preserve">Local</t>
  </si>
  <si>
    <t xml:space="preserve">Certified composition preferred (washing label).</t>
  </si>
  <si>
    <t xml:space="preserve">5.2</t>
  </si>
  <si>
    <t xml:space="preserve">Polyester 100% fabric samples</t>
  </si>
  <si>
    <t xml:space="preserve">&gt;5 different</t>
  </si>
  <si>
    <t xml:space="preserve">Pure PET fabric, various types incl. fleece</t>
  </si>
  <si>
    <t xml:space="preserve">Fabric store</t>
  </si>
  <si>
    <t xml:space="preserve">5.3</t>
  </si>
  <si>
    <t xml:space="preserve">Wool 100% fabric samples</t>
  </si>
  <si>
    <t xml:space="preserve">3+</t>
  </si>
  <si>
    <t xml:space="preserve">Pure wool, washed + unwashed if possible</t>
  </si>
  <si>
    <t xml:space="preserve">Fabric store / thrift</t>
  </si>
  <si>
    <t xml:space="preserve">5.4</t>
  </si>
  <si>
    <t xml:space="preserve">Nylon (PA6/66) fabric samples</t>
  </si>
  <si>
    <t xml:space="preserve">Pure nylon — tights, sportswear</t>
  </si>
  <si>
    <t xml:space="preserve">5.5</t>
  </si>
  <si>
    <t xml:space="preserve">Viscose/Lyocell fabric samples</t>
  </si>
  <si>
    <t xml:space="preserve">TENCEL or viscose labeled</t>
  </si>
  <si>
    <t xml:space="preserve">5.6</t>
  </si>
  <si>
    <t xml:space="preserve">Cotton/PET 50/50 blend</t>
  </si>
  <si>
    <t xml:space="preserve">Classic T-shirt blend, labeled 50/50</t>
  </si>
  <si>
    <t xml:space="preserve">Subtotal section 5</t>
  </si>
  <si>
    <t xml:space="preserve">TOTAL — Single device, full build (incl. backup components &amp; shipping)</t>
  </si>
  <si>
    <t xml:space="preserve">  Without optional SparkFun AS7265x (learn mode only, section 3.11):</t>
  </si>
  <si>
    <t xml:space="preserve">see notes tab</t>
  </si>
  <si>
    <t xml:space="preserve">  Note: backup quantities are components held in stock for repairs/workshops, not extras per build.</t>
  </si>
  <si>
    <t xml:space="preserve">FiberSense — Order Plan &amp; Timeline</t>
  </si>
  <si>
    <t xml:space="preserve">Order</t>
  </si>
  <si>
    <t xml:space="preserve">Supplier</t>
  </si>
  <si>
    <t xml:space="preserve">What to order</t>
  </si>
  <si>
    <t xml:space="preserve">Approx. cost (€)</t>
  </si>
  <si>
    <t xml:space="preserve">Action</t>
  </si>
  <si>
    <t xml:space="preserve">Priority</t>
  </si>
  <si>
    <t xml:space="preserve">Order 1 — DAY 1</t>
  </si>
  <si>
    <t xml:space="preserve">Hamamatsu EU
eu-sales@hamamatsu.com</t>
  </si>
  <si>
    <t xml:space="preserve">G8370-03 × 2 (InGaAs photodiode, 0.9–1.7µm)</t>
  </si>
  <si>
    <t xml:space="preserve">2–4 weeks</t>
  </si>
  <si>
    <t xml:space="preserve">Email quote request immediately. Include shipping address + VAT number.</t>
  </si>
  <si>
    <t xml:space="preserve">🔴 CRITICAL PATH</t>
  </si>
  <si>
    <t xml:space="preserve">Order 2 — DAY 1</t>
  </si>
  <si>
    <t xml:space="preserve">Roithner Lasertechnik
sales@roithner-laser.com</t>
  </si>
  <si>
    <t xml:space="preserve">ELD-1050, 1200, 1300, 1450, 1550, 1600, 1650 × 4 each
(28 LEDs total, 7 types)</t>
  </si>
  <si>
    <t xml:space="preserve">Email order. Mention FAB-Lab project — they are friendly to maker orders.</t>
  </si>
  <si>
    <t xml:space="preserve">Order 3 — DAY 1</t>
  </si>
  <si>
    <t xml:space="preserve">Mouser.de</t>
  </si>
  <si>
    <t xml:space="preserve">Vishay VSLY3940 940nm LED × 5
Backup components if not on LCSC</t>
  </si>
  <si>
    <t xml:space="preserve">Add to cart online. Check min. order.</t>
  </si>
  <si>
    <t xml:space="preserve">🟡 ORDER WITH 1+2</t>
  </si>
  <si>
    <t xml:space="preserve">Order 4 — DAY 2</t>
  </si>
  <si>
    <t xml:space="preserve">JLCPCB
jlcpcb.com</t>
  </si>
  <si>
    <t xml:space="preserve">PCB + SMT: 5× sensor PCBs assembled
(ADS1256, OPA2381, 74HC4051, BSS138×8, all passives)
Upload Gerber + BOM + CPL</t>
  </si>
  <si>
    <t xml:space="preserve">7–12 days</t>
  </si>
  <si>
    <t xml:space="preserve">Upload files from /hardware/sensor_pcb/gerber/.
Select Economic Assembly. Add ADS1256 as Global Part.</t>
  </si>
  <si>
    <t xml:space="preserve">🟡 CAN WAIT 1 DAY</t>
  </si>
  <si>
    <t xml:space="preserve">Order 5 — DAY 2</t>
  </si>
  <si>
    <t xml:space="preserve">Eckstein-Shop.de
or Waveshare direct</t>
  </si>
  <si>
    <t xml:space="preserve">Waveshare RP2040-Touch-LCD-1.28 × 2
LiPo 400mAh × 2
Micro-SD 8GB × 2</t>
  </si>
  <si>
    <t xml:space="preserve">3–7 days</t>
  </si>
  <si>
    <t xml:space="preserve">Check eckstein-shop.de for EU stock. Waveshare ships direct from China (~10 days).</t>
  </si>
  <si>
    <t xml:space="preserve">🟡 ORDER DAY 2</t>
  </si>
  <si>
    <t xml:space="preserve">Order 6 — DAY 3</t>
  </si>
  <si>
    <t xml:space="preserve">SparkFun
(via Mouser EU)</t>
  </si>
  <si>
    <t xml:space="preserve">SparkFun AS7265x Triad SEN-15050 × 2
(only if learn mode needed)</t>
  </si>
  <si>
    <t xml:space="preserve">Optional. Only needed for learn mode / workshop use.</t>
  </si>
  <si>
    <t xml:space="preserve">🟢 OPTIONAL</t>
  </si>
  <si>
    <t xml:space="preserve">Order 7 — LOCAL</t>
  </si>
  <si>
    <t xml:space="preserve">Fabric store / thrift shop</t>
  </si>
  <si>
    <t xml:space="preserve">Reference fabric samples:
5× cotton 100%, 5× PET 100%,
3× wool, 3× nylon, 3× viscose, 3× cotton/PET blend</t>
  </si>
  <si>
    <t xml:space="preserve">same day</t>
  </si>
  <si>
    <t xml:space="preserve">Buy locally. Check manufacturer wash label for fiber content.</t>
  </si>
  <si>
    <t xml:space="preserve">🟢 ANYTIME</t>
  </si>
  <si>
    <t xml:space="preserve">Order 8 — LOCAL</t>
  </si>
  <si>
    <t xml:space="preserve">Hardware store / Amazon</t>
  </si>
  <si>
    <t xml:space="preserve">M2×6 screws × 20
M2 heat-set inserts × 10
PTFE white card × 2
Black PETG filament 250g
PLA filament 250g
3M foam tape</t>
  </si>
  <si>
    <t xml:space="preserve">2–5 days</t>
  </si>
  <si>
    <t xml:space="preserve">Can order online or buy locally.</t>
  </si>
  <si>
    <t xml:space="preserve">Timeline: Order 1+2 on Day 1 (Hamamatsu + Roithner). Everything else arrives before them. Critical path = 2–4 weeks for G8370-03.</t>
  </si>
  <si>
    <t xml:space="preserve">FiberSense — Required FAB-Lab Equipment</t>
  </si>
  <si>
    <t xml:space="preserve">Category</t>
  </si>
  <si>
    <t xml:space="preserve">Equipment</t>
  </si>
  <si>
    <t xml:space="preserve">Spec / Model</t>
  </si>
  <si>
    <t xml:space="preserve">Need</t>
  </si>
  <si>
    <t xml:space="preserve">Why</t>
  </si>
  <si>
    <t xml:space="preserve">Alternative</t>
  </si>
  <si>
    <t xml:space="preserve">Est. cost if buying</t>
  </si>
  <si>
    <t xml:space="preserve">Soldering</t>
  </si>
  <si>
    <t xml:space="preserve">Temperature-controlled iron</t>
  </si>
  <si>
    <t xml:space="preserve">Hakko FX-888D or Weller WE1010
350–400°C for lead-free</t>
  </si>
  <si>
    <t xml:space="preserve">ESSENTIAL</t>
  </si>
  <si>
    <t xml:space="preserve">SMD 0603 passives, BSS138 SOT-23, SSOP-16 ADS1256, TO-18 Hamamatsu, 5mm THT LEDs</t>
  </si>
  <si>
    <t xml:space="preserve">Any regulated iron ≥40W</t>
  </si>
  <si>
    <t xml:space="preserve">~150–300 €</t>
  </si>
  <si>
    <t xml:space="preserve">Fine chisel tip (BC2 or T18-B2) for SMD. Conical tip for THT.</t>
  </si>
  <si>
    <t xml:space="preserve">Hot air rework station</t>
  </si>
  <si>
    <t xml:space="preserve">Quick 861DW or Atten AT858D+
300–400°C 50–100 L/min</t>
  </si>
  <si>
    <t xml:space="preserve">SSOP-16 ADS1256 package. Near-impossible to hand solder without hot air.</t>
  </si>
  <si>
    <t xml:space="preserve">Reflow oven (better, see below)</t>
  </si>
  <si>
    <t xml:space="preserve">~80–200 €</t>
  </si>
  <si>
    <t xml:space="preserve">Critical for ADS1256. Nozzle: 10mm flat.</t>
  </si>
  <si>
    <t xml:space="preserve">Solder paste + stencil</t>
  </si>
  <si>
    <t xml:space="preserve">Sn63Pb37 or SAC305 no-clean paste
Laser-cut stencil from JLCPCB</t>
  </si>
  <si>
    <t xml:space="preserve">RECOMMENDED</t>
  </si>
  <si>
    <t xml:space="preserve">Much cleaner SMD results. JLCPCB offers stencil add-on for ~€5.</t>
  </si>
  <si>
    <t xml:space="preserve">Solder wire + flux only</t>
  </si>
  <si>
    <t xml:space="preserve">Paste ~15 €, stencil ~5 €</t>
  </si>
  <si>
    <t xml:space="preserve">Order stencil with PCB.</t>
  </si>
  <si>
    <t xml:space="preserve">Reflow oven or hotplate</t>
  </si>
  <si>
    <t xml:space="preserve">T962 reflow oven or MHP30 hotplate</t>
  </si>
  <si>
    <t xml:space="preserve">NICE TO HAVE</t>
  </si>
  <si>
    <t xml:space="preserve">Professional SMD results, especially for ADS1256 SSOP</t>
  </si>
  <si>
    <t xml:space="preserve">Hot air (works but harder)</t>
  </si>
  <si>
    <t xml:space="preserve">150–400 €</t>
  </si>
  <si>
    <t xml:space="preserve">T962 needs mod (replace thermal insulation).</t>
  </si>
  <si>
    <t xml:space="preserve">Flux pen + IPA</t>
  </si>
  <si>
    <t xml:space="preserve">MG 835 no-clean flux pen
IPA 99% isopropyl</t>
  </si>
  <si>
    <t xml:space="preserve">SMD rework and cleanup</t>
  </si>
  <si>
    <t xml:space="preserve">~8 €</t>
  </si>
  <si>
    <t xml:space="preserve">Keep IPA in sealed bottle.</t>
  </si>
  <si>
    <t xml:space="preserve">Solder wick + suction</t>
  </si>
  <si>
    <t xml:space="preserve">2.5mm wick, suction pump</t>
  </si>
  <si>
    <t xml:space="preserve">Desoldering mistakes, cleaning pads</t>
  </si>
  <si>
    <t xml:space="preserve">Brass tip cleaner</t>
  </si>
  <si>
    <t xml:space="preserve">Hakko 599B or equivalent</t>
  </si>
  <si>
    <t xml:space="preserve">Tip maintenance extends tip life 10×</t>
  </si>
  <si>
    <t xml:space="preserve">Wet sponge (worse)</t>
  </si>
  <si>
    <t xml:space="preserve">Inspection</t>
  </si>
  <si>
    <t xml:space="preserve">Digital microscope / loupe</t>
  </si>
  <si>
    <t xml:space="preserve">Andonstar ADSM302 or similar
10–50× zoom with screen</t>
  </si>
  <si>
    <t xml:space="preserve">Verifying SMD solder joints on 0603, SOT-23, SSOP-16</t>
  </si>
  <si>
    <t xml:space="preserve">10× loupe (minimum)</t>
  </si>
  <si>
    <t xml:space="preserve">~80–150 €</t>
  </si>
  <si>
    <t xml:space="preserve">SSOP-16 pin pitch is 0.65mm — bridges are invisible to naked eye.</t>
  </si>
  <si>
    <t xml:space="preserve">Multimeter</t>
  </si>
  <si>
    <t xml:space="preserve">Fluke 115 or similar true-RMS</t>
  </si>
  <si>
    <t xml:space="preserve">Continuity, voltage checks, current measurement during debug</t>
  </si>
  <si>
    <t xml:space="preserve">Any digital multimeter</t>
  </si>
  <si>
    <t xml:space="preserve">~50–200 €</t>
  </si>
  <si>
    <t xml:space="preserve">Kelvin probes useful for measuring 10MΩ TIA feedback R.</t>
  </si>
  <si>
    <t xml:space="preserve">USB oscilloscope</t>
  </si>
  <si>
    <t xml:space="preserve">Digilent Analog Discovery 2
or Rigol DS1054Z</t>
  </si>
  <si>
    <t xml:space="preserve">Debugging SPI signals (ADS1256 DRDY timing is critical)</t>
  </si>
  <si>
    <t xml:space="preserve">Logic analyzer only</t>
  </si>
  <si>
    <t xml:space="preserve">~150–400 €</t>
  </si>
  <si>
    <t xml:space="preserve">At least a logic analyzer (Saleae or clone, ~€15) is needed.</t>
  </si>
  <si>
    <t xml:space="preserve">Logic analyzer</t>
  </si>
  <si>
    <t xml:space="preserve">Saleae Logic or 8ch clone</t>
  </si>
  <si>
    <t xml:space="preserve">I2C/SPI debugging — see AS7265x and ADS1256 communication</t>
  </si>
  <si>
    <t xml:space="preserve">USB oscilloscope covers this</t>
  </si>
  <si>
    <t xml:space="preserve">~15–150 €</t>
  </si>
  <si>
    <t xml:space="preserve">Clone works fine for 1MHz SPI.</t>
  </si>
  <si>
    <t xml:space="preserve">3D Printing</t>
  </si>
  <si>
    <t xml:space="preserve">FDM printer with enclosure</t>
  </si>
  <si>
    <t xml:space="preserve">Bambu Lab A1 / Prusa MK4
or any printer with PETG capability</t>
  </si>
  <si>
    <t xml:space="preserve">Sensor hat (black PETG, light-tight), enclosure body</t>
  </si>
  <si>
    <t xml:space="preserve">External print service</t>
  </si>
  <si>
    <t xml:space="preserve">~300–800 €</t>
  </si>
  <si>
    <t xml:space="preserve">Must print black PETG reliably. Enclosure is critical to measurement quality.</t>
  </si>
  <si>
    <t xml:space="preserve">Calipers digital</t>
  </si>
  <si>
    <t xml:space="preserve">0.01mm resolution</t>
  </si>
  <si>
    <t xml:space="preserve">Fitting sensor hat to PCB geometry — tolerances ±0.3mm required</t>
  </si>
  <si>
    <t xml:space="preserve">~15–30 €</t>
  </si>
  <si>
    <t xml:space="preserve">Heat-set insert tool</t>
  </si>
  <si>
    <t xml:space="preserve">Soldering iron tip for inserts
or dedicated press</t>
  </si>
  <si>
    <t xml:space="preserve">M2 heat-set inserts for enclosure lid</t>
  </si>
  <si>
    <t xml:space="preserve">Regular iron tip (messy)</t>
  </si>
  <si>
    <t xml:space="preserve">Programming</t>
  </si>
  <si>
    <t xml:space="preserve">PC with USB</t>
  </si>
  <si>
    <t xml:space="preserve">Any modern PC, USB-A or USB-C port</t>
  </si>
  <si>
    <t xml:space="preserve">Flashing firmware via PlatformIO, serial monitor</t>
  </si>
  <si>
    <t xml:space="preserve">Linux or macOS preferred for serial port naming.</t>
  </si>
  <si>
    <t xml:space="preserve">PlatformIO + VSCode</t>
  </si>
  <si>
    <t xml:space="preserve">Free, platform-independent</t>
  </si>
  <si>
    <t xml:space="preserve">RP2040 firmware build + upload</t>
  </si>
  <si>
    <t xml:space="preserve">Arduino IDE (limited)</t>
  </si>
  <si>
    <t xml:space="preserve">Free</t>
  </si>
  <si>
    <t xml:space="preserve">Install RP2040 Earle Philhower core.</t>
  </si>
  <si>
    <t xml:space="preserve">Python 3.10+</t>
  </si>
  <si>
    <t xml:space="preserve">With pip: pyserial, matplotlib, scikit-learn</t>
  </si>
  <si>
    <t xml:space="preserve">Classifier training, reference collection, visualizer</t>
  </si>
  <si>
    <t xml:space="preserve">pyenv recommended for version management.</t>
  </si>
  <si>
    <t xml:space="preserve">Calibration</t>
  </si>
  <si>
    <t xml:space="preserve">PTFE white reference card</t>
  </si>
  <si>
    <t xml:space="preserve">30×30mm diffuse PTFE sheet</t>
  </si>
  <si>
    <t xml:space="preserve">White calibration reference — more stable than paper</t>
  </si>
  <si>
    <t xml:space="preserve">4× white copier paper (workshop)</t>
  </si>
  <si>
    <t xml:space="preserve">~3–8 €</t>
  </si>
  <si>
    <t xml:space="preserve">Must be diffuse (matte), not glossy.</t>
  </si>
  <si>
    <t xml:space="preserve">Light-tight box for dark cal</t>
  </si>
  <si>
    <t xml:space="preserve">Small cardboard box or 3D print</t>
  </si>
  <si>
    <t xml:space="preserve">Dark calibration with zero ambient light</t>
  </si>
  <si>
    <t xml:space="preserve">Cover with thick black cloth</t>
  </si>
  <si>
    <t xml:space="preserve">~0 €</t>
  </si>
  <si>
    <t xml:space="preserve">Any light-tight cover works.</t>
  </si>
  <si>
    <t xml:space="preserve">Optional</t>
  </si>
  <si>
    <t xml:space="preserve">Hot plate stirrer</t>
  </si>
  <si>
    <t xml:space="preserve">For sensor hat flatness check</t>
  </si>
  <si>
    <t xml:space="preserve">OPTIONAL</t>
  </si>
  <si>
    <t xml:space="preserve">Not required — just nice for mechanical inspection.</t>
  </si>
  <si>
    <t xml:space="preserve">Helping hands / PCB holder</t>
  </si>
  <si>
    <t xml:space="preserve">Panavise or 3D-printed holder</t>
  </si>
  <si>
    <t xml:space="preserve">Holding PCB during THT soldering of LEDs and G8370-03</t>
  </si>
  <si>
    <t xml:space="preserve">Tape to table</t>
  </si>
  <si>
    <t xml:space="preserve">~20–40 €</t>
  </si>
  <si>
    <t xml:space="preserve">Label printer</t>
  </si>
  <si>
    <t xml:space="preserve">Dymo or Brother</t>
  </si>
  <si>
    <t xml:space="preserve">Labeling reference fabric samples for training data</t>
  </si>
  <si>
    <t xml:space="preserve">Handwritten labels</t>
  </si>
  <si>
    <t xml:space="preserve">~50–100 €</t>
  </si>
  <si>
    <t xml:space="preserve">Important for workshops with many samples.</t>
  </si>
  <si>
    <t xml:space="preserve">FiberSense — Cost Summary</t>
  </si>
  <si>
    <t xml:space="preserve">Scenario</t>
  </si>
  <si>
    <t xml:space="preserve">What's included</t>
  </si>
  <si>
    <t xml:space="preserve">Total (€)</t>
  </si>
  <si>
    <t xml:space="preserve">A</t>
  </si>
  <si>
    <t xml:space="preserve">Measure mode only
(no learn mode)</t>
  </si>
  <si>
    <t xml:space="preserve">Waveshare + sensor PCB + NIR LEDs
+ G8370-03 + enclosure + samples
(no AS7265x breakout)</t>
  </si>
  <si>
    <t xml:space="preserve">~195–230 €</t>
  </si>
  <si>
    <t xml:space="preserve">Recommended first build. Full NIR functionality.</t>
  </si>
  <si>
    <t xml:space="preserve">B</t>
  </si>
  <si>
    <t xml:space="preserve">Measure + Learn mode</t>
  </si>
  <si>
    <t xml:space="preserve">Everything in A + AS7265x breakout</t>
  </si>
  <si>
    <t xml:space="preserve">~250–290 €</t>
  </si>
  <si>
    <t xml:space="preserve">Best for workshops. Demonstrates both modes.</t>
  </si>
  <si>
    <t xml:space="preserve">C</t>
  </si>
  <si>
    <t xml:space="preserve">Learn mode only
(no NIR array)</t>
  </si>
  <si>
    <t xml:space="preserve">Waveshare + AS7265x + minimal PCB
+ enclosure</t>
  </si>
  <si>
    <t xml:space="preserve">~110–130 €</t>
  </si>
  <si>
    <t xml:space="preserve">Workshop demo only. Cannot identify fiber composition reliably.</t>
  </si>
  <si>
    <t xml:space="preserve">D</t>
  </si>
  <si>
    <t xml:space="preserve">Workshop kit × 5 devices
(measure mode)</t>
  </si>
  <si>
    <t xml:space="preserve">5× scenario A, bulk ordering
shared shipping, shared filament</t>
  </si>
  <si>
    <t xml:space="preserve">~700–850 €</t>
  </si>
  <si>
    <t xml:space="preserve">Per-device cost drops to ~140–170 € at 5 units.
Order Roithner LEDs × 25 each, G8370-03 × 6.</t>
  </si>
  <si>
    <t xml:space="preserve">Cost breakdown by category</t>
  </si>
  <si>
    <t xml:space="preserve">Waveshare board + battery + SD</t>
  </si>
  <si>
    <t xml:space="preserve">Brain</t>
  </si>
  <si>
    <t xml:space="preserve">~22 €</t>
  </si>
  <si>
    <t xml:space="preserve">Fixed per device</t>
  </si>
  <si>
    <t xml:space="preserve">PCB fabrication + SMT assembly</t>
  </si>
  <si>
    <t xml:space="preserve">Sensor PCB</t>
  </si>
  <si>
    <t xml:space="preserve">~35 €</t>
  </si>
  <si>
    <t xml:space="preserve">ADS1256 + OPA2381 + passives</t>
  </si>
  <si>
    <t xml:space="preserve">Electronics</t>
  </si>
  <si>
    <t xml:space="preserve">~18 €</t>
  </si>
  <si>
    <t xml:space="preserve">On PCB above</t>
  </si>
  <si>
    <t xml:space="preserve">Hamamatsu G8370-03</t>
  </si>
  <si>
    <t xml:space="preserve">Detector</t>
  </si>
  <si>
    <t xml:space="preserve">Long lead item</t>
  </si>
  <si>
    <t xml:space="preserve">Roithner NIR LEDs (7 types × 2)</t>
  </si>
  <si>
    <t xml:space="preserve">Emitters</t>
  </si>
  <si>
    <t xml:space="preserve">Single order all types</t>
  </si>
  <si>
    <t xml:space="preserve">AS7265x breakout (learn mode)</t>
  </si>
  <si>
    <t xml:space="preserve">Learn sensor</t>
  </si>
  <si>
    <t xml:space="preserve">~62 €</t>
  </si>
  <si>
    <t xml:space="preserve">Enclosure (filament + hardware)</t>
  </si>
  <si>
    <t xml:space="preserve">Mechanics</t>
  </si>
  <si>
    <t xml:space="preserve">3D print in-house</t>
  </si>
  <si>
    <t xml:space="preserve">Reference fabric samples</t>
  </si>
  <si>
    <t xml:space="preserve">One-time per setup</t>
  </si>
  <si>
    <t xml:space="preserve">Shipping (all suppliers)</t>
  </si>
  <si>
    <t xml:space="preserve">Logistics</t>
  </si>
  <si>
    <t xml:space="preserve">~25 €</t>
  </si>
  <si>
    <t xml:space="preserve">Hamamatsu + Roithner + JLCPCB</t>
  </si>
  <si>
    <t xml:space="preserve">Contingency / broken parts (10%)</t>
  </si>
  <si>
    <t xml:space="preserve">Buffer</t>
  </si>
  <si>
    <t xml:space="preserve">Backup components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</si>
</sst>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D3561"/>
        <bgColor rgb="FF333399"/>
      </patternFill>
    </fill>
    <fill>
      <patternFill patternType="solid">
        <fgColor rgb="FFE8F5E9"/>
        <bgColor rgb="FFE3F2FD"/>
      </patternFill>
    </fill>
    <fill>
      <patternFill patternType="solid">
        <fgColor rgb="FFEDE7F6"/>
        <bgColor rgb="FFE8EAF6"/>
      </patternFill>
    </fill>
    <fill>
      <patternFill patternType="solid">
        <fgColor rgb="FFFFF3E0"/>
        <bgColor rgb="FFE8F5E9"/>
      </patternFill>
    </fill>
    <fill>
      <patternFill patternType="solid">
        <fgColor rgb="FFE8EAF6"/>
        <bgColor rgb="FFEDE7F6"/>
      </patternFill>
    </fill>
    <fill>
      <patternFill patternType="solid">
        <fgColor rgb="FFF3E5F5"/>
        <bgColor rgb="FFEDE7F6"/>
      </patternFill>
    </fill>
    <fill>
      <patternFill patternType="solid">
        <fgColor rgb="FFE3F2FD"/>
        <bgColor rgb="FFE8EA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AF6"/>
      <rgbColor rgb="FFFFFF99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2D35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48"/>
    <col collapsed="false" customWidth="true" hidden="false" outlineLevel="0" max="7" min="5" style="0" width="9"/>
    <col collapsed="false" customWidth="true" hidden="false" outlineLevel="0" max="9" min="8" style="0" width="12"/>
    <col collapsed="false" customWidth="true" hidden="false" outlineLevel="0" max="10" min="10" style="0" width="28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2.35" hidden="false" customHeight="false" outlineLevel="0" collapsed="false">
      <c r="A5" s="5" t="s">
        <v>16</v>
      </c>
      <c r="B5" s="5" t="s">
        <v>17</v>
      </c>
      <c r="C5" s="5" t="s">
        <v>18</v>
      </c>
      <c r="D5" s="5" t="s">
        <v>19</v>
      </c>
      <c r="E5" s="5" t="n">
        <v>1</v>
      </c>
      <c r="F5" s="5" t="n">
        <v>1</v>
      </c>
      <c r="G5" s="5" t="n">
        <v>2</v>
      </c>
      <c r="H5" s="6" t="n">
        <v>14.5</v>
      </c>
      <c r="I5" s="6" t="n">
        <f aca="false">G5*H5</f>
        <v>29</v>
      </c>
      <c r="J5" s="6" t="s">
        <v>20</v>
      </c>
      <c r="K5" s="6" t="s">
        <v>21</v>
      </c>
      <c r="L5" s="6" t="s">
        <v>22</v>
      </c>
      <c r="M5" s="6" t="s">
        <v>23</v>
      </c>
    </row>
    <row r="6" customFormat="false" ht="15" hidden="false" customHeight="false" outlineLevel="0" collapsed="false">
      <c r="A6" s="5" t="s">
        <v>24</v>
      </c>
      <c r="B6" s="5" t="s">
        <v>25</v>
      </c>
      <c r="C6" s="5" t="s">
        <v>26</v>
      </c>
      <c r="D6" s="5" t="s">
        <v>27</v>
      </c>
      <c r="E6" s="5" t="n">
        <v>1</v>
      </c>
      <c r="F6" s="5" t="n">
        <v>1</v>
      </c>
      <c r="G6" s="5" t="n">
        <v>2</v>
      </c>
      <c r="H6" s="6" t="n">
        <v>4.2</v>
      </c>
      <c r="I6" s="6" t="n">
        <f aca="false">G6*H6</f>
        <v>8.4</v>
      </c>
      <c r="J6" s="6" t="s">
        <v>28</v>
      </c>
      <c r="K6" s="6" t="s">
        <v>21</v>
      </c>
      <c r="L6" s="6" t="s">
        <v>29</v>
      </c>
      <c r="M6" s="6" t="s">
        <v>30</v>
      </c>
    </row>
    <row r="7" customFormat="false" ht="15" hidden="false" customHeight="false" outlineLevel="0" collapsed="false">
      <c r="A7" s="5" t="s">
        <v>31</v>
      </c>
      <c r="B7" s="5" t="s">
        <v>32</v>
      </c>
      <c r="C7" s="5" t="s">
        <v>33</v>
      </c>
      <c r="D7" s="5" t="s">
        <v>34</v>
      </c>
      <c r="E7" s="5" t="n">
        <v>1</v>
      </c>
      <c r="F7" s="5" t="n">
        <v>1</v>
      </c>
      <c r="G7" s="5" t="n">
        <v>2</v>
      </c>
      <c r="H7" s="6" t="n">
        <v>3.5</v>
      </c>
      <c r="I7" s="6" t="n">
        <f aca="false">G7*H7</f>
        <v>7</v>
      </c>
      <c r="J7" s="6" t="s">
        <v>35</v>
      </c>
      <c r="K7" s="6" t="s">
        <v>21</v>
      </c>
      <c r="L7" s="6" t="s">
        <v>36</v>
      </c>
      <c r="M7" s="6" t="s">
        <v>37</v>
      </c>
    </row>
    <row r="8" customFormat="false" ht="15" hidden="false" customHeight="false" outlineLevel="0" collapsed="false">
      <c r="A8" s="5" t="s">
        <v>38</v>
      </c>
      <c r="B8" s="5" t="s">
        <v>39</v>
      </c>
      <c r="C8" s="5" t="s">
        <v>40</v>
      </c>
      <c r="D8" s="5" t="s">
        <v>41</v>
      </c>
      <c r="E8" s="5" t="n">
        <v>1</v>
      </c>
      <c r="F8" s="5" t="n">
        <v>0</v>
      </c>
      <c r="G8" s="5" t="n">
        <v>1</v>
      </c>
      <c r="H8" s="6" t="n">
        <v>3</v>
      </c>
      <c r="I8" s="6" t="n">
        <f aca="false">G8*H8</f>
        <v>3</v>
      </c>
      <c r="J8" s="6" t="s">
        <v>42</v>
      </c>
      <c r="K8" s="6" t="s">
        <v>21</v>
      </c>
      <c r="L8" s="6" t="s">
        <v>36</v>
      </c>
      <c r="M8" s="6" t="s">
        <v>21</v>
      </c>
    </row>
    <row r="9" customFormat="false" ht="15" hidden="false" customHeight="false" outlineLevel="0" collapsed="false">
      <c r="A9" s="7" t="s">
        <v>43</v>
      </c>
      <c r="B9" s="8"/>
      <c r="C9" s="8"/>
      <c r="D9" s="8"/>
      <c r="E9" s="8"/>
      <c r="F9" s="8"/>
      <c r="G9" s="8"/>
      <c r="H9" s="8"/>
      <c r="I9" s="7" t="n">
        <f aca="false">SUM(I5:I8)</f>
        <v>47.4</v>
      </c>
      <c r="J9" s="8"/>
      <c r="K9" s="8"/>
      <c r="L9" s="8"/>
      <c r="M9" s="8"/>
    </row>
    <row r="10" customFormat="false" ht="15" hidden="false" customHeight="false" outlineLevel="0" collapsed="false">
      <c r="A10" s="4" t="s">
        <v>44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22.35" hidden="false" customHeight="false" outlineLevel="0" collapsed="false">
      <c r="A11" s="9" t="s">
        <v>45</v>
      </c>
      <c r="B11" s="9" t="s">
        <v>46</v>
      </c>
      <c r="C11" s="9" t="s">
        <v>47</v>
      </c>
      <c r="D11" s="9" t="s">
        <v>48</v>
      </c>
      <c r="E11" s="9" t="n">
        <v>1</v>
      </c>
      <c r="F11" s="9" t="n">
        <v>1</v>
      </c>
      <c r="G11" s="9" t="n">
        <v>2</v>
      </c>
      <c r="H11" s="10" t="n">
        <v>9.8</v>
      </c>
      <c r="I11" s="10" t="n">
        <f aca="false">G11*H11</f>
        <v>19.6</v>
      </c>
      <c r="J11" s="10" t="s">
        <v>49</v>
      </c>
      <c r="K11" s="10" t="s">
        <v>50</v>
      </c>
      <c r="L11" s="10" t="s">
        <v>51</v>
      </c>
      <c r="M11" s="10" t="s">
        <v>52</v>
      </c>
    </row>
    <row r="12" customFormat="false" ht="15" hidden="false" customHeight="false" outlineLevel="0" collapsed="false">
      <c r="A12" s="5" t="s">
        <v>53</v>
      </c>
      <c r="B12" s="5" t="s">
        <v>54</v>
      </c>
      <c r="C12" s="5" t="s">
        <v>55</v>
      </c>
      <c r="D12" s="5" t="s">
        <v>56</v>
      </c>
      <c r="E12" s="5" t="n">
        <v>1</v>
      </c>
      <c r="F12" s="5" t="n">
        <v>2</v>
      </c>
      <c r="G12" s="5" t="n">
        <v>3</v>
      </c>
      <c r="H12" s="6" t="n">
        <v>1.5</v>
      </c>
      <c r="I12" s="6" t="n">
        <f aca="false">G12*H12</f>
        <v>4.5</v>
      </c>
      <c r="J12" s="6" t="s">
        <v>57</v>
      </c>
      <c r="K12" s="6" t="s">
        <v>58</v>
      </c>
      <c r="L12" s="6" t="s">
        <v>59</v>
      </c>
      <c r="M12" s="6" t="s">
        <v>21</v>
      </c>
    </row>
    <row r="13" customFormat="false" ht="15" hidden="false" customHeight="false" outlineLevel="0" collapsed="false">
      <c r="A13" s="5" t="s">
        <v>60</v>
      </c>
      <c r="B13" s="5" t="s">
        <v>61</v>
      </c>
      <c r="C13" s="5" t="s">
        <v>62</v>
      </c>
      <c r="D13" s="5" t="s">
        <v>63</v>
      </c>
      <c r="E13" s="5" t="n">
        <v>1</v>
      </c>
      <c r="F13" s="5" t="n">
        <v>2</v>
      </c>
      <c r="G13" s="5" t="n">
        <v>3</v>
      </c>
      <c r="H13" s="6" t="n">
        <v>0.22</v>
      </c>
      <c r="I13" s="6" t="n">
        <f aca="false">G13*H13</f>
        <v>0.66</v>
      </c>
      <c r="J13" s="6" t="s">
        <v>57</v>
      </c>
      <c r="K13" s="6" t="s">
        <v>64</v>
      </c>
      <c r="L13" s="6" t="s">
        <v>59</v>
      </c>
      <c r="M13" s="6" t="s">
        <v>21</v>
      </c>
    </row>
    <row r="14" customFormat="false" ht="15" hidden="false" customHeight="false" outlineLevel="0" collapsed="false">
      <c r="A14" s="5" t="s">
        <v>65</v>
      </c>
      <c r="B14" s="5" t="s">
        <v>66</v>
      </c>
      <c r="C14" s="5" t="s">
        <v>67</v>
      </c>
      <c r="D14" s="5" t="s">
        <v>68</v>
      </c>
      <c r="E14" s="5" t="n">
        <v>8</v>
      </c>
      <c r="F14" s="5" t="n">
        <v>8</v>
      </c>
      <c r="G14" s="5" t="n">
        <v>16</v>
      </c>
      <c r="H14" s="6" t="n">
        <v>0.05</v>
      </c>
      <c r="I14" s="6" t="n">
        <f aca="false">G14*H14</f>
        <v>0.8</v>
      </c>
      <c r="J14" s="6" t="s">
        <v>57</v>
      </c>
      <c r="K14" s="6" t="s">
        <v>69</v>
      </c>
      <c r="L14" s="6" t="s">
        <v>59</v>
      </c>
      <c r="M14" s="6" t="s">
        <v>70</v>
      </c>
    </row>
    <row r="15" customFormat="false" ht="15" hidden="false" customHeight="false" outlineLevel="0" collapsed="false">
      <c r="A15" s="5" t="s">
        <v>71</v>
      </c>
      <c r="B15" s="5" t="s">
        <v>72</v>
      </c>
      <c r="C15" s="5" t="s">
        <v>73</v>
      </c>
      <c r="D15" s="5" t="s">
        <v>74</v>
      </c>
      <c r="E15" s="5" t="n">
        <v>1</v>
      </c>
      <c r="F15" s="5" t="n">
        <v>1</v>
      </c>
      <c r="G15" s="5" t="n">
        <v>2</v>
      </c>
      <c r="H15" s="6" t="n">
        <v>0.55</v>
      </c>
      <c r="I15" s="6" t="n">
        <f aca="false">G15*H15</f>
        <v>1.1</v>
      </c>
      <c r="J15" s="6" t="s">
        <v>57</v>
      </c>
      <c r="K15" s="6" t="s">
        <v>75</v>
      </c>
      <c r="L15" s="6" t="s">
        <v>59</v>
      </c>
      <c r="M15" s="6" t="s">
        <v>21</v>
      </c>
    </row>
    <row r="16" customFormat="false" ht="15" hidden="false" customHeight="false" outlineLevel="0" collapsed="false">
      <c r="A16" s="5" t="s">
        <v>76</v>
      </c>
      <c r="B16" s="5" t="s">
        <v>77</v>
      </c>
      <c r="C16" s="5" t="s">
        <v>78</v>
      </c>
      <c r="D16" s="5" t="s">
        <v>79</v>
      </c>
      <c r="E16" s="5" t="n">
        <v>1</v>
      </c>
      <c r="F16" s="5" t="n">
        <v>3</v>
      </c>
      <c r="G16" s="5" t="n">
        <v>5</v>
      </c>
      <c r="H16" s="6" t="n">
        <v>0.05</v>
      </c>
      <c r="I16" s="6" t="n">
        <f aca="false">G16*H16</f>
        <v>0.25</v>
      </c>
      <c r="J16" s="6" t="s">
        <v>57</v>
      </c>
      <c r="K16" s="6" t="s">
        <v>21</v>
      </c>
      <c r="L16" s="6" t="s">
        <v>59</v>
      </c>
      <c r="M16" s="6" t="s">
        <v>21</v>
      </c>
    </row>
    <row r="17" customFormat="false" ht="15" hidden="false" customHeight="false" outlineLevel="0" collapsed="false">
      <c r="A17" s="5" t="s">
        <v>80</v>
      </c>
      <c r="B17" s="5" t="s">
        <v>81</v>
      </c>
      <c r="C17" s="5" t="s">
        <v>82</v>
      </c>
      <c r="D17" s="5" t="s">
        <v>83</v>
      </c>
      <c r="E17" s="5" t="n">
        <v>8</v>
      </c>
      <c r="F17" s="5" t="n">
        <v>8</v>
      </c>
      <c r="G17" s="5" t="n">
        <v>20</v>
      </c>
      <c r="H17" s="6" t="n">
        <v>0.02</v>
      </c>
      <c r="I17" s="6" t="n">
        <f aca="false">G17*H17</f>
        <v>0.4</v>
      </c>
      <c r="J17" s="6" t="s">
        <v>57</v>
      </c>
      <c r="K17" s="6" t="s">
        <v>21</v>
      </c>
      <c r="L17" s="6" t="s">
        <v>59</v>
      </c>
      <c r="M17" s="6" t="s">
        <v>84</v>
      </c>
    </row>
    <row r="18" customFormat="false" ht="15" hidden="false" customHeight="false" outlineLevel="0" collapsed="false">
      <c r="A18" s="5" t="s">
        <v>85</v>
      </c>
      <c r="B18" s="5" t="s">
        <v>86</v>
      </c>
      <c r="C18" s="5" t="s">
        <v>87</v>
      </c>
      <c r="D18" s="5" t="s">
        <v>88</v>
      </c>
      <c r="E18" s="5" t="n">
        <v>4</v>
      </c>
      <c r="F18" s="5" t="n">
        <v>4</v>
      </c>
      <c r="G18" s="5" t="n">
        <v>20</v>
      </c>
      <c r="H18" s="6" t="n">
        <v>0.02</v>
      </c>
      <c r="I18" s="6" t="n">
        <f aca="false">G18*H18</f>
        <v>0.4</v>
      </c>
      <c r="J18" s="6" t="s">
        <v>57</v>
      </c>
      <c r="K18" s="6" t="s">
        <v>21</v>
      </c>
      <c r="L18" s="6" t="s">
        <v>59</v>
      </c>
      <c r="M18" s="6" t="s">
        <v>84</v>
      </c>
    </row>
    <row r="19" customFormat="false" ht="15" hidden="false" customHeight="false" outlineLevel="0" collapsed="false">
      <c r="A19" s="5" t="s">
        <v>89</v>
      </c>
      <c r="B19" s="5" t="s">
        <v>90</v>
      </c>
      <c r="C19" s="5" t="s">
        <v>91</v>
      </c>
      <c r="D19" s="5" t="s">
        <v>92</v>
      </c>
      <c r="E19" s="5" t="n">
        <v>2</v>
      </c>
      <c r="F19" s="5" t="n">
        <v>2</v>
      </c>
      <c r="G19" s="5" t="n">
        <v>10</v>
      </c>
      <c r="H19" s="6" t="n">
        <v>0.02</v>
      </c>
      <c r="I19" s="6" t="n">
        <f aca="false">G19*H19</f>
        <v>0.2</v>
      </c>
      <c r="J19" s="6" t="s">
        <v>57</v>
      </c>
      <c r="K19" s="6" t="s">
        <v>21</v>
      </c>
      <c r="L19" s="6" t="s">
        <v>59</v>
      </c>
      <c r="M19" s="6" t="s">
        <v>21</v>
      </c>
    </row>
    <row r="20" customFormat="false" ht="15" hidden="false" customHeight="false" outlineLevel="0" collapsed="false">
      <c r="A20" s="5" t="s">
        <v>93</v>
      </c>
      <c r="B20" s="5" t="s">
        <v>94</v>
      </c>
      <c r="C20" s="5" t="s">
        <v>95</v>
      </c>
      <c r="D20" s="5" t="s">
        <v>96</v>
      </c>
      <c r="E20" s="5" t="n">
        <v>8</v>
      </c>
      <c r="F20" s="5" t="n">
        <v>8</v>
      </c>
      <c r="G20" s="5" t="n">
        <v>20</v>
      </c>
      <c r="H20" s="6" t="n">
        <v>0.02</v>
      </c>
      <c r="I20" s="6" t="n">
        <f aca="false">G20*H20</f>
        <v>0.4</v>
      </c>
      <c r="J20" s="6" t="s">
        <v>57</v>
      </c>
      <c r="K20" s="6" t="s">
        <v>21</v>
      </c>
      <c r="L20" s="6" t="s">
        <v>59</v>
      </c>
      <c r="M20" s="6" t="s">
        <v>84</v>
      </c>
    </row>
    <row r="21" customFormat="false" ht="15" hidden="false" customHeight="false" outlineLevel="0" collapsed="false">
      <c r="A21" s="5" t="s">
        <v>97</v>
      </c>
      <c r="B21" s="5" t="s">
        <v>98</v>
      </c>
      <c r="C21" s="5" t="s">
        <v>99</v>
      </c>
      <c r="D21" s="5" t="s">
        <v>100</v>
      </c>
      <c r="E21" s="5" t="n">
        <v>1</v>
      </c>
      <c r="F21" s="5" t="n">
        <v>2</v>
      </c>
      <c r="G21" s="5" t="n">
        <v>5</v>
      </c>
      <c r="H21" s="6" t="n">
        <v>0.03</v>
      </c>
      <c r="I21" s="6" t="n">
        <f aca="false">G21*H21</f>
        <v>0.15</v>
      </c>
      <c r="J21" s="6" t="s">
        <v>57</v>
      </c>
      <c r="K21" s="6" t="s">
        <v>21</v>
      </c>
      <c r="L21" s="6" t="s">
        <v>59</v>
      </c>
      <c r="M21" s="6" t="s">
        <v>21</v>
      </c>
    </row>
    <row r="22" customFormat="false" ht="15" hidden="false" customHeight="false" outlineLevel="0" collapsed="false">
      <c r="A22" s="5" t="s">
        <v>101</v>
      </c>
      <c r="B22" s="5" t="s">
        <v>102</v>
      </c>
      <c r="C22" s="5" t="s">
        <v>103</v>
      </c>
      <c r="D22" s="5" t="s">
        <v>104</v>
      </c>
      <c r="E22" s="5" t="n">
        <v>3</v>
      </c>
      <c r="F22" s="5" t="n">
        <v>3</v>
      </c>
      <c r="G22" s="5" t="n">
        <v>10</v>
      </c>
      <c r="H22" s="6" t="n">
        <v>0.04</v>
      </c>
      <c r="I22" s="6" t="n">
        <f aca="false">G22*H22</f>
        <v>0.4</v>
      </c>
      <c r="J22" s="6" t="s">
        <v>57</v>
      </c>
      <c r="K22" s="6" t="s">
        <v>21</v>
      </c>
      <c r="L22" s="6" t="s">
        <v>59</v>
      </c>
      <c r="M22" s="6" t="s">
        <v>21</v>
      </c>
    </row>
    <row r="23" customFormat="false" ht="15" hidden="false" customHeight="false" outlineLevel="0" collapsed="false">
      <c r="A23" s="5" t="s">
        <v>105</v>
      </c>
      <c r="B23" s="5" t="s">
        <v>106</v>
      </c>
      <c r="C23" s="5" t="s">
        <v>107</v>
      </c>
      <c r="D23" s="5" t="s">
        <v>108</v>
      </c>
      <c r="E23" s="5" t="n">
        <v>1</v>
      </c>
      <c r="F23" s="5" t="n">
        <v>1</v>
      </c>
      <c r="G23" s="5" t="n">
        <v>2</v>
      </c>
      <c r="H23" s="6" t="n">
        <v>0.8</v>
      </c>
      <c r="I23" s="6" t="n">
        <f aca="false">G23*H23</f>
        <v>1.6</v>
      </c>
      <c r="J23" s="6" t="s">
        <v>57</v>
      </c>
      <c r="K23" s="6" t="s">
        <v>21</v>
      </c>
      <c r="L23" s="6" t="s">
        <v>59</v>
      </c>
      <c r="M23" s="6" t="s">
        <v>109</v>
      </c>
    </row>
    <row r="24" customFormat="false" ht="15" hidden="false" customHeight="false" outlineLevel="0" collapsed="false">
      <c r="A24" s="5" t="s">
        <v>110</v>
      </c>
      <c r="B24" s="5" t="s">
        <v>111</v>
      </c>
      <c r="C24" s="5" t="s">
        <v>112</v>
      </c>
      <c r="D24" s="5" t="s">
        <v>113</v>
      </c>
      <c r="E24" s="5" t="n">
        <v>5</v>
      </c>
      <c r="F24" s="5" t="n">
        <v>0</v>
      </c>
      <c r="G24" s="5" t="n">
        <v>5</v>
      </c>
      <c r="H24" s="6" t="n">
        <v>2</v>
      </c>
      <c r="I24" s="6" t="n">
        <f aca="false">G24*H24</f>
        <v>10</v>
      </c>
      <c r="J24" s="6" t="s">
        <v>114</v>
      </c>
      <c r="K24" s="6" t="s">
        <v>21</v>
      </c>
      <c r="L24" s="6" t="s">
        <v>22</v>
      </c>
      <c r="M24" s="6" t="s">
        <v>115</v>
      </c>
    </row>
    <row r="25" customFormat="false" ht="22.35" hidden="false" customHeight="false" outlineLevel="0" collapsed="false">
      <c r="A25" s="11" t="s">
        <v>116</v>
      </c>
      <c r="B25" s="11" t="s">
        <v>117</v>
      </c>
      <c r="C25" s="11" t="s">
        <v>118</v>
      </c>
      <c r="D25" s="11" t="s">
        <v>119</v>
      </c>
      <c r="E25" s="11" t="n">
        <v>1</v>
      </c>
      <c r="F25" s="11" t="n">
        <v>0</v>
      </c>
      <c r="G25" s="11" t="n">
        <v>1</v>
      </c>
      <c r="H25" s="12" t="n">
        <v>18</v>
      </c>
      <c r="I25" s="12" t="n">
        <f aca="false">G25*H25</f>
        <v>18</v>
      </c>
      <c r="J25" s="12" t="s">
        <v>114</v>
      </c>
      <c r="K25" s="12" t="s">
        <v>21</v>
      </c>
      <c r="L25" s="12" t="s">
        <v>120</v>
      </c>
      <c r="M25" s="12" t="s">
        <v>121</v>
      </c>
    </row>
    <row r="26" customFormat="false" ht="22.35" hidden="false" customHeight="false" outlineLevel="0" collapsed="false">
      <c r="A26" s="11" t="s">
        <v>122</v>
      </c>
      <c r="B26" s="11" t="s">
        <v>123</v>
      </c>
      <c r="C26" s="11" t="s">
        <v>124</v>
      </c>
      <c r="D26" s="11" t="s">
        <v>125</v>
      </c>
      <c r="E26" s="11" t="n">
        <v>1</v>
      </c>
      <c r="F26" s="11" t="n">
        <v>0</v>
      </c>
      <c r="G26" s="11" t="n">
        <v>1</v>
      </c>
      <c r="H26" s="12" t="n">
        <v>12</v>
      </c>
      <c r="I26" s="12" t="n">
        <f aca="false">G26*H26</f>
        <v>12</v>
      </c>
      <c r="J26" s="12" t="s">
        <v>114</v>
      </c>
      <c r="K26" s="12" t="s">
        <v>21</v>
      </c>
      <c r="L26" s="12" t="s">
        <v>126</v>
      </c>
      <c r="M26" s="12" t="s">
        <v>127</v>
      </c>
    </row>
    <row r="27" customFormat="false" ht="15" hidden="false" customHeight="false" outlineLevel="0" collapsed="false">
      <c r="A27" s="7" t="s">
        <v>128</v>
      </c>
      <c r="B27" s="8"/>
      <c r="C27" s="8"/>
      <c r="D27" s="8"/>
      <c r="E27" s="8"/>
      <c r="F27" s="8"/>
      <c r="G27" s="8"/>
      <c r="H27" s="8"/>
      <c r="I27" s="7" t="n">
        <f aca="false">SUM(I11:I26)</f>
        <v>70.46</v>
      </c>
      <c r="J27" s="8"/>
      <c r="K27" s="8"/>
      <c r="L27" s="8"/>
      <c r="M27" s="8"/>
    </row>
    <row r="28" customFormat="false" ht="15" hidden="false" customHeight="false" outlineLevel="0" collapsed="false">
      <c r="A28" s="4" t="s">
        <v>129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22.35" hidden="false" customHeight="false" outlineLevel="0" collapsed="false">
      <c r="A29" s="9" t="s">
        <v>130</v>
      </c>
      <c r="B29" s="9" t="s">
        <v>131</v>
      </c>
      <c r="C29" s="9" t="s">
        <v>132</v>
      </c>
      <c r="D29" s="9" t="s">
        <v>133</v>
      </c>
      <c r="E29" s="9" t="n">
        <v>1</v>
      </c>
      <c r="F29" s="9" t="n">
        <v>1</v>
      </c>
      <c r="G29" s="9" t="n">
        <v>2</v>
      </c>
      <c r="H29" s="10" t="n">
        <v>22</v>
      </c>
      <c r="I29" s="10" t="n">
        <f aca="false">G29*H29</f>
        <v>44</v>
      </c>
      <c r="J29" s="10" t="s">
        <v>134</v>
      </c>
      <c r="K29" s="10" t="s">
        <v>21</v>
      </c>
      <c r="L29" s="10" t="s">
        <v>135</v>
      </c>
      <c r="M29" s="10" t="s">
        <v>136</v>
      </c>
    </row>
    <row r="30" customFormat="false" ht="15" hidden="false" customHeight="false" outlineLevel="0" collapsed="false">
      <c r="A30" s="5" t="s">
        <v>137</v>
      </c>
      <c r="B30" s="5" t="s">
        <v>138</v>
      </c>
      <c r="C30" s="5" t="s">
        <v>139</v>
      </c>
      <c r="D30" s="5" t="s">
        <v>140</v>
      </c>
      <c r="E30" s="5" t="n">
        <v>2</v>
      </c>
      <c r="F30" s="5" t="n">
        <v>2</v>
      </c>
      <c r="G30" s="5" t="n">
        <v>5</v>
      </c>
      <c r="H30" s="6" t="n">
        <v>0.35</v>
      </c>
      <c r="I30" s="6" t="n">
        <f aca="false">G30*H30</f>
        <v>1.75</v>
      </c>
      <c r="J30" s="6" t="s">
        <v>141</v>
      </c>
      <c r="K30" s="6" t="s">
        <v>21</v>
      </c>
      <c r="L30" s="6" t="s">
        <v>59</v>
      </c>
      <c r="M30" s="6" t="s">
        <v>21</v>
      </c>
    </row>
    <row r="31" customFormat="false" ht="15" hidden="false" customHeight="false" outlineLevel="0" collapsed="false">
      <c r="A31" s="9" t="s">
        <v>142</v>
      </c>
      <c r="B31" s="9" t="s">
        <v>143</v>
      </c>
      <c r="C31" s="9" t="s">
        <v>144</v>
      </c>
      <c r="D31" s="9" t="s">
        <v>145</v>
      </c>
      <c r="E31" s="9" t="n">
        <v>2</v>
      </c>
      <c r="F31" s="9" t="n">
        <v>2</v>
      </c>
      <c r="G31" s="9" t="n">
        <v>4</v>
      </c>
      <c r="H31" s="10" t="n">
        <v>3.2</v>
      </c>
      <c r="I31" s="10" t="n">
        <f aca="false">G31*H31</f>
        <v>12.8</v>
      </c>
      <c r="J31" s="10" t="s">
        <v>146</v>
      </c>
      <c r="K31" s="10" t="s">
        <v>21</v>
      </c>
      <c r="L31" s="10" t="s">
        <v>147</v>
      </c>
      <c r="M31" s="10" t="s">
        <v>148</v>
      </c>
    </row>
    <row r="32" customFormat="false" ht="15" hidden="false" customHeight="false" outlineLevel="0" collapsed="false">
      <c r="A32" s="9" t="s">
        <v>149</v>
      </c>
      <c r="B32" s="9" t="s">
        <v>150</v>
      </c>
      <c r="C32" s="9" t="s">
        <v>151</v>
      </c>
      <c r="D32" s="9" t="s">
        <v>152</v>
      </c>
      <c r="E32" s="9" t="n">
        <v>2</v>
      </c>
      <c r="F32" s="9" t="n">
        <v>2</v>
      </c>
      <c r="G32" s="9" t="n">
        <v>4</v>
      </c>
      <c r="H32" s="10" t="n">
        <v>3.2</v>
      </c>
      <c r="I32" s="10" t="n">
        <f aca="false">G32*H32</f>
        <v>12.8</v>
      </c>
      <c r="J32" s="10" t="s">
        <v>146</v>
      </c>
      <c r="K32" s="10" t="s">
        <v>21</v>
      </c>
      <c r="L32" s="10" t="s">
        <v>147</v>
      </c>
      <c r="M32" s="10" t="s">
        <v>153</v>
      </c>
    </row>
    <row r="33" customFormat="false" ht="15" hidden="false" customHeight="false" outlineLevel="0" collapsed="false">
      <c r="A33" s="9" t="s">
        <v>154</v>
      </c>
      <c r="B33" s="9" t="s">
        <v>155</v>
      </c>
      <c r="C33" s="9" t="s">
        <v>156</v>
      </c>
      <c r="D33" s="9" t="s">
        <v>157</v>
      </c>
      <c r="E33" s="9" t="n">
        <v>2</v>
      </c>
      <c r="F33" s="9" t="n">
        <v>2</v>
      </c>
      <c r="G33" s="9" t="n">
        <v>4</v>
      </c>
      <c r="H33" s="10" t="n">
        <v>3.2</v>
      </c>
      <c r="I33" s="10" t="n">
        <f aca="false">G33*H33</f>
        <v>12.8</v>
      </c>
      <c r="J33" s="10" t="s">
        <v>146</v>
      </c>
      <c r="K33" s="10" t="s">
        <v>21</v>
      </c>
      <c r="L33" s="10" t="s">
        <v>147</v>
      </c>
      <c r="M33" s="10" t="s">
        <v>153</v>
      </c>
    </row>
    <row r="34" customFormat="false" ht="15" hidden="false" customHeight="false" outlineLevel="0" collapsed="false">
      <c r="A34" s="9" t="s">
        <v>158</v>
      </c>
      <c r="B34" s="9" t="s">
        <v>159</v>
      </c>
      <c r="C34" s="9" t="s">
        <v>160</v>
      </c>
      <c r="D34" s="9" t="s">
        <v>161</v>
      </c>
      <c r="E34" s="9" t="n">
        <v>2</v>
      </c>
      <c r="F34" s="9" t="n">
        <v>2</v>
      </c>
      <c r="G34" s="9" t="n">
        <v>4</v>
      </c>
      <c r="H34" s="10" t="n">
        <v>4.1</v>
      </c>
      <c r="I34" s="10" t="n">
        <f aca="false">G34*H34</f>
        <v>16.4</v>
      </c>
      <c r="J34" s="10" t="s">
        <v>146</v>
      </c>
      <c r="K34" s="10" t="s">
        <v>21</v>
      </c>
      <c r="L34" s="10" t="s">
        <v>147</v>
      </c>
      <c r="M34" s="10" t="s">
        <v>153</v>
      </c>
    </row>
    <row r="35" customFormat="false" ht="15" hidden="false" customHeight="false" outlineLevel="0" collapsed="false">
      <c r="A35" s="9" t="s">
        <v>162</v>
      </c>
      <c r="B35" s="9" t="s">
        <v>163</v>
      </c>
      <c r="C35" s="9" t="s">
        <v>164</v>
      </c>
      <c r="D35" s="9" t="s">
        <v>165</v>
      </c>
      <c r="E35" s="9" t="n">
        <v>2</v>
      </c>
      <c r="F35" s="9" t="n">
        <v>2</v>
      </c>
      <c r="G35" s="9" t="n">
        <v>4</v>
      </c>
      <c r="H35" s="10" t="n">
        <v>4.5</v>
      </c>
      <c r="I35" s="10" t="n">
        <f aca="false">G35*H35</f>
        <v>18</v>
      </c>
      <c r="J35" s="10" t="s">
        <v>146</v>
      </c>
      <c r="K35" s="10" t="s">
        <v>21</v>
      </c>
      <c r="L35" s="10" t="s">
        <v>147</v>
      </c>
      <c r="M35" s="10" t="s">
        <v>153</v>
      </c>
    </row>
    <row r="36" customFormat="false" ht="15" hidden="false" customHeight="false" outlineLevel="0" collapsed="false">
      <c r="A36" s="9" t="s">
        <v>166</v>
      </c>
      <c r="B36" s="9" t="s">
        <v>167</v>
      </c>
      <c r="C36" s="9" t="s">
        <v>168</v>
      </c>
      <c r="D36" s="9" t="s">
        <v>169</v>
      </c>
      <c r="E36" s="9" t="n">
        <v>2</v>
      </c>
      <c r="F36" s="9" t="n">
        <v>2</v>
      </c>
      <c r="G36" s="9" t="n">
        <v>4</v>
      </c>
      <c r="H36" s="10" t="n">
        <v>5</v>
      </c>
      <c r="I36" s="10" t="n">
        <f aca="false">G36*H36</f>
        <v>20</v>
      </c>
      <c r="J36" s="10" t="s">
        <v>146</v>
      </c>
      <c r="K36" s="10" t="s">
        <v>21</v>
      </c>
      <c r="L36" s="10" t="s">
        <v>147</v>
      </c>
      <c r="M36" s="10" t="s">
        <v>153</v>
      </c>
    </row>
    <row r="37" customFormat="false" ht="15" hidden="false" customHeight="false" outlineLevel="0" collapsed="false">
      <c r="A37" s="9" t="s">
        <v>170</v>
      </c>
      <c r="B37" s="9" t="s">
        <v>171</v>
      </c>
      <c r="C37" s="9" t="s">
        <v>172</v>
      </c>
      <c r="D37" s="9" t="s">
        <v>173</v>
      </c>
      <c r="E37" s="9" t="n">
        <v>2</v>
      </c>
      <c r="F37" s="9" t="n">
        <v>2</v>
      </c>
      <c r="G37" s="9" t="n">
        <v>4</v>
      </c>
      <c r="H37" s="10" t="n">
        <v>5.5</v>
      </c>
      <c r="I37" s="10" t="n">
        <f aca="false">G37*H37</f>
        <v>22</v>
      </c>
      <c r="J37" s="10" t="s">
        <v>146</v>
      </c>
      <c r="K37" s="10" t="s">
        <v>21</v>
      </c>
      <c r="L37" s="10" t="s">
        <v>147</v>
      </c>
      <c r="M37" s="10" t="s">
        <v>153</v>
      </c>
    </row>
    <row r="38" customFormat="false" ht="15" hidden="false" customHeight="false" outlineLevel="0" collapsed="false">
      <c r="A38" s="5" t="s">
        <v>174</v>
      </c>
      <c r="B38" s="5" t="s">
        <v>175</v>
      </c>
      <c r="C38" s="5" t="s">
        <v>21</v>
      </c>
      <c r="D38" s="5" t="s">
        <v>176</v>
      </c>
      <c r="E38" s="5" t="n">
        <v>1</v>
      </c>
      <c r="F38" s="5" t="n">
        <v>0</v>
      </c>
      <c r="G38" s="5" t="n">
        <v>1</v>
      </c>
      <c r="H38" s="6" t="n">
        <v>8</v>
      </c>
      <c r="I38" s="6" t="n">
        <f aca="false">G38*H38</f>
        <v>8</v>
      </c>
      <c r="J38" s="6" t="s">
        <v>146</v>
      </c>
      <c r="K38" s="6" t="s">
        <v>21</v>
      </c>
      <c r="L38" s="6" t="s">
        <v>21</v>
      </c>
      <c r="M38" s="6" t="s">
        <v>177</v>
      </c>
    </row>
    <row r="39" customFormat="false" ht="22.35" hidden="false" customHeight="false" outlineLevel="0" collapsed="false">
      <c r="A39" s="13" t="s">
        <v>178</v>
      </c>
      <c r="B39" s="13" t="s">
        <v>179</v>
      </c>
      <c r="C39" s="13" t="s">
        <v>180</v>
      </c>
      <c r="D39" s="13" t="s">
        <v>181</v>
      </c>
      <c r="E39" s="13" t="n">
        <v>1</v>
      </c>
      <c r="F39" s="13" t="n">
        <v>1</v>
      </c>
      <c r="G39" s="13" t="n">
        <v>2</v>
      </c>
      <c r="H39" s="14" t="n">
        <v>62</v>
      </c>
      <c r="I39" s="14" t="n">
        <f aca="false">G39*H39</f>
        <v>124</v>
      </c>
      <c r="J39" s="14" t="s">
        <v>182</v>
      </c>
      <c r="K39" s="14" t="s">
        <v>21</v>
      </c>
      <c r="L39" s="14" t="s">
        <v>183</v>
      </c>
      <c r="M39" s="14" t="s">
        <v>184</v>
      </c>
    </row>
    <row r="40" customFormat="false" ht="15" hidden="false" customHeight="false" outlineLevel="0" collapsed="false">
      <c r="A40" s="7" t="s">
        <v>185</v>
      </c>
      <c r="B40" s="8"/>
      <c r="C40" s="8"/>
      <c r="D40" s="8"/>
      <c r="E40" s="8"/>
      <c r="F40" s="8"/>
      <c r="G40" s="8"/>
      <c r="H40" s="8"/>
      <c r="I40" s="7" t="n">
        <f aca="false">SUM(I29:I39)</f>
        <v>292.55</v>
      </c>
      <c r="J40" s="8"/>
      <c r="K40" s="8"/>
      <c r="L40" s="8"/>
      <c r="M40" s="8"/>
    </row>
    <row r="41" customFormat="false" ht="15" hidden="false" customHeight="false" outlineLevel="0" collapsed="false">
      <c r="A41" s="4" t="s">
        <v>186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15" hidden="false" customHeight="false" outlineLevel="0" collapsed="false">
      <c r="A42" s="5" t="s">
        <v>187</v>
      </c>
      <c r="B42" s="5" t="s">
        <v>188</v>
      </c>
      <c r="C42" s="5" t="s">
        <v>189</v>
      </c>
      <c r="D42" s="5" t="s">
        <v>190</v>
      </c>
      <c r="E42" s="5" t="n">
        <v>1</v>
      </c>
      <c r="F42" s="5" t="n">
        <v>0</v>
      </c>
      <c r="G42" s="5" t="n">
        <v>1</v>
      </c>
      <c r="H42" s="6" t="n">
        <v>6.5</v>
      </c>
      <c r="I42" s="6" t="n">
        <f aca="false">G42*H42</f>
        <v>6.5</v>
      </c>
      <c r="J42" s="6" t="s">
        <v>191</v>
      </c>
      <c r="K42" s="6" t="s">
        <v>21</v>
      </c>
      <c r="L42" s="6" t="s">
        <v>59</v>
      </c>
      <c r="M42" s="6" t="s">
        <v>192</v>
      </c>
    </row>
    <row r="43" customFormat="false" ht="15" hidden="false" customHeight="false" outlineLevel="0" collapsed="false">
      <c r="A43" s="5" t="s">
        <v>193</v>
      </c>
      <c r="B43" s="5" t="s">
        <v>194</v>
      </c>
      <c r="C43" s="5" t="s">
        <v>195</v>
      </c>
      <c r="D43" s="5" t="s">
        <v>196</v>
      </c>
      <c r="E43" s="5" t="n">
        <v>1</v>
      </c>
      <c r="F43" s="5" t="n">
        <v>0</v>
      </c>
      <c r="G43" s="5" t="n">
        <v>1</v>
      </c>
      <c r="H43" s="6" t="n">
        <v>5</v>
      </c>
      <c r="I43" s="6" t="n">
        <f aca="false">G43*H43</f>
        <v>5</v>
      </c>
      <c r="J43" s="6" t="s">
        <v>197</v>
      </c>
      <c r="K43" s="6" t="s">
        <v>21</v>
      </c>
      <c r="L43" s="6" t="s">
        <v>59</v>
      </c>
      <c r="M43" s="6" t="s">
        <v>198</v>
      </c>
    </row>
    <row r="44" customFormat="false" ht="15" hidden="false" customHeight="false" outlineLevel="0" collapsed="false">
      <c r="A44" s="5" t="s">
        <v>199</v>
      </c>
      <c r="B44" s="5" t="s">
        <v>200</v>
      </c>
      <c r="C44" s="5" t="s">
        <v>201</v>
      </c>
      <c r="D44" s="5" t="s">
        <v>202</v>
      </c>
      <c r="E44" s="5" t="n">
        <v>8</v>
      </c>
      <c r="F44" s="5" t="n">
        <v>4</v>
      </c>
      <c r="G44" s="5" t="n">
        <v>12</v>
      </c>
      <c r="H44" s="6" t="n">
        <v>0.08</v>
      </c>
      <c r="I44" s="6" t="n">
        <f aca="false">G44*H44</f>
        <v>0.96</v>
      </c>
      <c r="J44" s="6" t="s">
        <v>203</v>
      </c>
      <c r="K44" s="6" t="s">
        <v>21</v>
      </c>
      <c r="L44" s="6" t="s">
        <v>59</v>
      </c>
      <c r="M44" s="6" t="s">
        <v>21</v>
      </c>
    </row>
    <row r="45" customFormat="false" ht="15" hidden="false" customHeight="false" outlineLevel="0" collapsed="false">
      <c r="A45" s="5" t="s">
        <v>204</v>
      </c>
      <c r="B45" s="5" t="s">
        <v>205</v>
      </c>
      <c r="C45" s="5" t="s">
        <v>206</v>
      </c>
      <c r="D45" s="5" t="s">
        <v>207</v>
      </c>
      <c r="E45" s="5" t="n">
        <v>4</v>
      </c>
      <c r="F45" s="5" t="n">
        <v>4</v>
      </c>
      <c r="G45" s="5" t="n">
        <v>10</v>
      </c>
      <c r="H45" s="6" t="n">
        <v>0.12</v>
      </c>
      <c r="I45" s="6" t="n">
        <f aca="false">G45*H45</f>
        <v>1.2</v>
      </c>
      <c r="J45" s="6" t="s">
        <v>208</v>
      </c>
      <c r="K45" s="6" t="s">
        <v>21</v>
      </c>
      <c r="L45" s="6" t="s">
        <v>183</v>
      </c>
      <c r="M45" s="6" t="s">
        <v>21</v>
      </c>
    </row>
    <row r="46" customFormat="false" ht="22.35" hidden="false" customHeight="false" outlineLevel="0" collapsed="false">
      <c r="A46" s="5" t="s">
        <v>209</v>
      </c>
      <c r="B46" s="5" t="s">
        <v>210</v>
      </c>
      <c r="C46" s="5" t="s">
        <v>211</v>
      </c>
      <c r="D46" s="5" t="s">
        <v>212</v>
      </c>
      <c r="E46" s="5" t="n">
        <v>1</v>
      </c>
      <c r="F46" s="5" t="n">
        <v>1</v>
      </c>
      <c r="G46" s="5" t="n">
        <v>2</v>
      </c>
      <c r="H46" s="6" t="n">
        <v>3.5</v>
      </c>
      <c r="I46" s="6" t="n">
        <f aca="false">G46*H46</f>
        <v>7</v>
      </c>
      <c r="J46" s="6" t="s">
        <v>213</v>
      </c>
      <c r="K46" s="6" t="s">
        <v>21</v>
      </c>
      <c r="L46" s="6" t="s">
        <v>183</v>
      </c>
      <c r="M46" s="6" t="s">
        <v>214</v>
      </c>
    </row>
    <row r="47" customFormat="false" ht="15" hidden="false" customHeight="false" outlineLevel="0" collapsed="false">
      <c r="A47" s="5" t="s">
        <v>215</v>
      </c>
      <c r="B47" s="5" t="s">
        <v>216</v>
      </c>
      <c r="C47" s="5" t="s">
        <v>217</v>
      </c>
      <c r="D47" s="5" t="s">
        <v>218</v>
      </c>
      <c r="E47" s="5" t="n">
        <v>1</v>
      </c>
      <c r="F47" s="5" t="n">
        <v>1</v>
      </c>
      <c r="G47" s="5" t="n">
        <v>2</v>
      </c>
      <c r="H47" s="6" t="n">
        <v>0.5</v>
      </c>
      <c r="I47" s="6" t="n">
        <f aca="false">G47*H47</f>
        <v>1</v>
      </c>
      <c r="J47" s="6" t="s">
        <v>219</v>
      </c>
      <c r="K47" s="6" t="s">
        <v>21</v>
      </c>
      <c r="L47" s="6" t="s">
        <v>59</v>
      </c>
      <c r="M47" s="6" t="s">
        <v>21</v>
      </c>
    </row>
    <row r="48" customFormat="false" ht="22.35" hidden="false" customHeight="false" outlineLevel="0" collapsed="false">
      <c r="A48" s="5" t="s">
        <v>220</v>
      </c>
      <c r="B48" s="5" t="s">
        <v>221</v>
      </c>
      <c r="C48" s="5" t="s">
        <v>222</v>
      </c>
      <c r="D48" s="5" t="s">
        <v>223</v>
      </c>
      <c r="E48" s="5" t="n">
        <v>1</v>
      </c>
      <c r="F48" s="5" t="n">
        <v>0</v>
      </c>
      <c r="G48" s="5" t="n">
        <v>1</v>
      </c>
      <c r="H48" s="6" t="n">
        <v>2</v>
      </c>
      <c r="I48" s="6" t="n">
        <f aca="false">G48*H48</f>
        <v>2</v>
      </c>
      <c r="J48" s="6" t="s">
        <v>224</v>
      </c>
      <c r="K48" s="6" t="s">
        <v>21</v>
      </c>
      <c r="L48" s="6" t="s">
        <v>59</v>
      </c>
      <c r="M48" s="6" t="s">
        <v>21</v>
      </c>
    </row>
    <row r="49" customFormat="false" ht="15" hidden="false" customHeight="false" outlineLevel="0" collapsed="false">
      <c r="A49" s="7" t="s">
        <v>225</v>
      </c>
      <c r="B49" s="8"/>
      <c r="C49" s="8"/>
      <c r="D49" s="8"/>
      <c r="E49" s="8"/>
      <c r="F49" s="8"/>
      <c r="G49" s="8"/>
      <c r="H49" s="8"/>
      <c r="I49" s="7" t="n">
        <f aca="false">SUM(I42:I48)</f>
        <v>23.66</v>
      </c>
      <c r="J49" s="8"/>
      <c r="K49" s="8"/>
      <c r="L49" s="8"/>
      <c r="M49" s="8"/>
    </row>
    <row r="50" customFormat="false" ht="15" hidden="false" customHeight="false" outlineLevel="0" collapsed="false">
      <c r="A50" s="4" t="s">
        <v>226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22.35" hidden="false" customHeight="false" outlineLevel="0" collapsed="false">
      <c r="A51" s="15" t="s">
        <v>227</v>
      </c>
      <c r="B51" s="15" t="s">
        <v>228</v>
      </c>
      <c r="C51" s="15" t="s">
        <v>229</v>
      </c>
      <c r="D51" s="15" t="s">
        <v>230</v>
      </c>
      <c r="E51" s="15" t="n">
        <v>5</v>
      </c>
      <c r="F51" s="15" t="n">
        <v>0</v>
      </c>
      <c r="G51" s="15" t="n">
        <v>5</v>
      </c>
      <c r="H51" s="16" t="n">
        <v>3</v>
      </c>
      <c r="I51" s="16" t="n">
        <f aca="false">G51*H51</f>
        <v>15</v>
      </c>
      <c r="J51" s="16" t="s">
        <v>231</v>
      </c>
      <c r="K51" s="16" t="s">
        <v>21</v>
      </c>
      <c r="L51" s="16" t="s">
        <v>232</v>
      </c>
      <c r="M51" s="16" t="s">
        <v>233</v>
      </c>
    </row>
    <row r="52" customFormat="false" ht="22.35" hidden="false" customHeight="false" outlineLevel="0" collapsed="false">
      <c r="A52" s="15" t="s">
        <v>234</v>
      </c>
      <c r="B52" s="15" t="s">
        <v>235</v>
      </c>
      <c r="C52" s="15" t="s">
        <v>236</v>
      </c>
      <c r="D52" s="15" t="s">
        <v>237</v>
      </c>
      <c r="E52" s="15" t="n">
        <v>5</v>
      </c>
      <c r="F52" s="15" t="n">
        <v>0</v>
      </c>
      <c r="G52" s="15" t="n">
        <v>5</v>
      </c>
      <c r="H52" s="16" t="n">
        <v>2</v>
      </c>
      <c r="I52" s="16" t="n">
        <f aca="false">G52*H52</f>
        <v>10</v>
      </c>
      <c r="J52" s="16" t="s">
        <v>238</v>
      </c>
      <c r="K52" s="16" t="s">
        <v>21</v>
      </c>
      <c r="L52" s="16" t="s">
        <v>232</v>
      </c>
      <c r="M52" s="16" t="s">
        <v>21</v>
      </c>
    </row>
    <row r="53" customFormat="false" ht="15" hidden="false" customHeight="false" outlineLevel="0" collapsed="false">
      <c r="A53" s="15" t="s">
        <v>239</v>
      </c>
      <c r="B53" s="15" t="s">
        <v>240</v>
      </c>
      <c r="C53" s="15" t="s">
        <v>241</v>
      </c>
      <c r="D53" s="15" t="s">
        <v>242</v>
      </c>
      <c r="E53" s="15" t="n">
        <v>3</v>
      </c>
      <c r="F53" s="15" t="n">
        <v>0</v>
      </c>
      <c r="G53" s="15" t="n">
        <v>3</v>
      </c>
      <c r="H53" s="16" t="n">
        <v>4</v>
      </c>
      <c r="I53" s="16" t="n">
        <f aca="false">G53*H53</f>
        <v>12</v>
      </c>
      <c r="J53" s="16" t="s">
        <v>243</v>
      </c>
      <c r="K53" s="16" t="s">
        <v>21</v>
      </c>
      <c r="L53" s="16" t="s">
        <v>232</v>
      </c>
      <c r="M53" s="16" t="s">
        <v>21</v>
      </c>
    </row>
    <row r="54" customFormat="false" ht="22.35" hidden="false" customHeight="false" outlineLevel="0" collapsed="false">
      <c r="A54" s="15" t="s">
        <v>244</v>
      </c>
      <c r="B54" s="15" t="s">
        <v>245</v>
      </c>
      <c r="C54" s="15" t="s">
        <v>241</v>
      </c>
      <c r="D54" s="15" t="s">
        <v>246</v>
      </c>
      <c r="E54" s="15" t="n">
        <v>3</v>
      </c>
      <c r="F54" s="15" t="n">
        <v>0</v>
      </c>
      <c r="G54" s="15" t="n">
        <v>3</v>
      </c>
      <c r="H54" s="16" t="n">
        <v>2</v>
      </c>
      <c r="I54" s="16" t="n">
        <f aca="false">G54*H54</f>
        <v>6</v>
      </c>
      <c r="J54" s="16" t="s">
        <v>238</v>
      </c>
      <c r="K54" s="16" t="s">
        <v>21</v>
      </c>
      <c r="L54" s="16" t="s">
        <v>232</v>
      </c>
      <c r="M54" s="16" t="s">
        <v>21</v>
      </c>
    </row>
    <row r="55" customFormat="false" ht="22.35" hidden="false" customHeight="false" outlineLevel="0" collapsed="false">
      <c r="A55" s="15" t="s">
        <v>247</v>
      </c>
      <c r="B55" s="15" t="s">
        <v>248</v>
      </c>
      <c r="C55" s="15" t="s">
        <v>241</v>
      </c>
      <c r="D55" s="15" t="s">
        <v>249</v>
      </c>
      <c r="E55" s="15" t="n">
        <v>3</v>
      </c>
      <c r="F55" s="15" t="n">
        <v>0</v>
      </c>
      <c r="G55" s="15" t="n">
        <v>3</v>
      </c>
      <c r="H55" s="16" t="n">
        <v>2.5</v>
      </c>
      <c r="I55" s="16" t="n">
        <f aca="false">G55*H55</f>
        <v>7.5</v>
      </c>
      <c r="J55" s="16" t="s">
        <v>238</v>
      </c>
      <c r="K55" s="16" t="s">
        <v>21</v>
      </c>
      <c r="L55" s="16" t="s">
        <v>232</v>
      </c>
      <c r="M55" s="16" t="s">
        <v>21</v>
      </c>
    </row>
    <row r="56" customFormat="false" ht="15" hidden="false" customHeight="false" outlineLevel="0" collapsed="false">
      <c r="A56" s="15" t="s">
        <v>250</v>
      </c>
      <c r="B56" s="15" t="s">
        <v>251</v>
      </c>
      <c r="C56" s="15" t="s">
        <v>241</v>
      </c>
      <c r="D56" s="15" t="s">
        <v>252</v>
      </c>
      <c r="E56" s="15" t="n">
        <v>3</v>
      </c>
      <c r="F56" s="15" t="n">
        <v>0</v>
      </c>
      <c r="G56" s="15" t="n">
        <v>3</v>
      </c>
      <c r="H56" s="16" t="n">
        <v>2</v>
      </c>
      <c r="I56" s="16" t="n">
        <f aca="false">G56*H56</f>
        <v>6</v>
      </c>
      <c r="J56" s="16" t="s">
        <v>238</v>
      </c>
      <c r="K56" s="16" t="s">
        <v>21</v>
      </c>
      <c r="L56" s="16" t="s">
        <v>232</v>
      </c>
      <c r="M56" s="16" t="s">
        <v>21</v>
      </c>
    </row>
    <row r="57" customFormat="false" ht="15" hidden="false" customHeight="false" outlineLevel="0" collapsed="false">
      <c r="A57" s="7" t="s">
        <v>253</v>
      </c>
      <c r="B57" s="8"/>
      <c r="C57" s="8"/>
      <c r="D57" s="8"/>
      <c r="E57" s="8"/>
      <c r="F57" s="8"/>
      <c r="G57" s="8"/>
      <c r="H57" s="8"/>
      <c r="I57" s="7" t="n">
        <f aca="false">SUM(I51:I56)</f>
        <v>56.5</v>
      </c>
      <c r="J57" s="8"/>
      <c r="K57" s="8"/>
      <c r="L57" s="8"/>
      <c r="M57" s="8"/>
    </row>
    <row r="59" customFormat="false" ht="16.15" hidden="false" customHeight="false" outlineLevel="0" collapsed="false">
      <c r="A59" s="17" t="s">
        <v>254</v>
      </c>
      <c r="B59" s="17"/>
      <c r="C59" s="17"/>
      <c r="D59" s="17"/>
      <c r="E59" s="17"/>
      <c r="F59" s="17"/>
      <c r="G59" s="17"/>
      <c r="H59" s="17"/>
      <c r="I59" s="18" t="n">
        <f aca="false">I9+I27+I40+I49+I57</f>
        <v>490.57</v>
      </c>
      <c r="J59" s="19"/>
      <c r="K59" s="19"/>
      <c r="L59" s="19"/>
      <c r="M59" s="19"/>
    </row>
    <row r="60" customFormat="false" ht="15" hidden="false" customHeight="false" outlineLevel="0" collapsed="false">
      <c r="A60" s="20" t="s">
        <v>255</v>
      </c>
      <c r="B60" s="20"/>
      <c r="C60" s="20"/>
      <c r="D60" s="20"/>
      <c r="E60" s="20"/>
      <c r="F60" s="20"/>
      <c r="G60" s="20"/>
      <c r="H60" s="20"/>
      <c r="I60" s="21" t="s">
        <v>256</v>
      </c>
    </row>
    <row r="61" customFormat="false" ht="15" hidden="false" customHeight="false" outlineLevel="0" collapsed="false">
      <c r="A61" s="22" t="s">
        <v>257</v>
      </c>
      <c r="B61" s="22"/>
      <c r="C61" s="22"/>
      <c r="D61" s="22"/>
      <c r="E61" s="22"/>
      <c r="F61" s="22"/>
      <c r="G61" s="22"/>
      <c r="H61" s="22"/>
    </row>
  </sheetData>
  <mergeCells count="10">
    <mergeCell ref="A1:M1"/>
    <mergeCell ref="A2:M2"/>
    <mergeCell ref="A4:M4"/>
    <mergeCell ref="A10:M10"/>
    <mergeCell ref="A28:M28"/>
    <mergeCell ref="A41:M41"/>
    <mergeCell ref="A50:M50"/>
    <mergeCell ref="A59:H59"/>
    <mergeCell ref="A60:H60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258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3" t="s">
        <v>259</v>
      </c>
      <c r="B2" s="3" t="s">
        <v>260</v>
      </c>
      <c r="C2" s="3" t="s">
        <v>261</v>
      </c>
      <c r="D2" s="3" t="s">
        <v>262</v>
      </c>
      <c r="E2" s="3" t="s">
        <v>13</v>
      </c>
      <c r="F2" s="3" t="s">
        <v>263</v>
      </c>
      <c r="G2" s="3" t="s">
        <v>264</v>
      </c>
    </row>
    <row r="3" customFormat="false" ht="60" hidden="false" customHeight="true" outlineLevel="0" collapsed="false">
      <c r="A3" s="23" t="s">
        <v>265</v>
      </c>
      <c r="B3" s="23" t="s">
        <v>266</v>
      </c>
      <c r="C3" s="23" t="s">
        <v>267</v>
      </c>
      <c r="D3" s="23" t="n">
        <v>48</v>
      </c>
      <c r="E3" s="23" t="s">
        <v>268</v>
      </c>
      <c r="F3" s="23" t="s">
        <v>269</v>
      </c>
      <c r="G3" s="23" t="s">
        <v>270</v>
      </c>
    </row>
    <row r="4" customFormat="false" ht="60" hidden="false" customHeight="true" outlineLevel="0" collapsed="false">
      <c r="A4" s="23" t="s">
        <v>271</v>
      </c>
      <c r="B4" s="23" t="s">
        <v>272</v>
      </c>
      <c r="C4" s="23" t="s">
        <v>273</v>
      </c>
      <c r="D4" s="23" t="n">
        <v>70</v>
      </c>
      <c r="E4" s="23" t="s">
        <v>147</v>
      </c>
      <c r="F4" s="23" t="s">
        <v>274</v>
      </c>
      <c r="G4" s="23" t="s">
        <v>270</v>
      </c>
    </row>
    <row r="5" customFormat="false" ht="60" hidden="false" customHeight="true" outlineLevel="0" collapsed="false">
      <c r="A5" s="23" t="s">
        <v>275</v>
      </c>
      <c r="B5" s="23" t="s">
        <v>276</v>
      </c>
      <c r="C5" s="23" t="s">
        <v>277</v>
      </c>
      <c r="D5" s="23" t="n">
        <v>15</v>
      </c>
      <c r="E5" s="23" t="s">
        <v>22</v>
      </c>
      <c r="F5" s="23" t="s">
        <v>278</v>
      </c>
      <c r="G5" s="23" t="s">
        <v>279</v>
      </c>
    </row>
    <row r="6" customFormat="false" ht="60" hidden="false" customHeight="true" outlineLevel="0" collapsed="false">
      <c r="A6" s="23" t="s">
        <v>280</v>
      </c>
      <c r="B6" s="23" t="s">
        <v>281</v>
      </c>
      <c r="C6" s="23" t="s">
        <v>282</v>
      </c>
      <c r="D6" s="23" t="n">
        <v>45</v>
      </c>
      <c r="E6" s="23" t="s">
        <v>283</v>
      </c>
      <c r="F6" s="23" t="s">
        <v>284</v>
      </c>
      <c r="G6" s="23" t="s">
        <v>285</v>
      </c>
    </row>
    <row r="7" customFormat="false" ht="60" hidden="false" customHeight="true" outlineLevel="0" collapsed="false">
      <c r="A7" s="23" t="s">
        <v>286</v>
      </c>
      <c r="B7" s="23" t="s">
        <v>287</v>
      </c>
      <c r="C7" s="23" t="s">
        <v>288</v>
      </c>
      <c r="D7" s="23" t="n">
        <v>38</v>
      </c>
      <c r="E7" s="23" t="s">
        <v>289</v>
      </c>
      <c r="F7" s="23" t="s">
        <v>290</v>
      </c>
      <c r="G7" s="23" t="s">
        <v>291</v>
      </c>
    </row>
    <row r="8" customFormat="false" ht="60" hidden="false" customHeight="true" outlineLevel="0" collapsed="false">
      <c r="A8" s="24" t="s">
        <v>292</v>
      </c>
      <c r="B8" s="24" t="s">
        <v>293</v>
      </c>
      <c r="C8" s="24" t="s">
        <v>294</v>
      </c>
      <c r="D8" s="24" t="n">
        <v>130</v>
      </c>
      <c r="E8" s="24" t="s">
        <v>183</v>
      </c>
      <c r="F8" s="24" t="s">
        <v>295</v>
      </c>
      <c r="G8" s="24" t="s">
        <v>296</v>
      </c>
    </row>
    <row r="9" customFormat="false" ht="60" hidden="false" customHeight="true" outlineLevel="0" collapsed="false">
      <c r="A9" s="23" t="s">
        <v>297</v>
      </c>
      <c r="B9" s="23" t="s">
        <v>298</v>
      </c>
      <c r="C9" s="23" t="s">
        <v>299</v>
      </c>
      <c r="D9" s="23" t="n">
        <v>22</v>
      </c>
      <c r="E9" s="23" t="s">
        <v>300</v>
      </c>
      <c r="F9" s="23" t="s">
        <v>301</v>
      </c>
      <c r="G9" s="23" t="s">
        <v>302</v>
      </c>
    </row>
    <row r="10" customFormat="false" ht="60" hidden="false" customHeight="true" outlineLevel="0" collapsed="false">
      <c r="A10" s="23" t="s">
        <v>303</v>
      </c>
      <c r="B10" s="23" t="s">
        <v>304</v>
      </c>
      <c r="C10" s="23" t="s">
        <v>305</v>
      </c>
      <c r="D10" s="23" t="n">
        <v>25</v>
      </c>
      <c r="E10" s="23" t="s">
        <v>306</v>
      </c>
      <c r="F10" s="23" t="s">
        <v>307</v>
      </c>
      <c r="G10" s="23" t="s">
        <v>302</v>
      </c>
    </row>
    <row r="12" customFormat="false" ht="30" hidden="false" customHeight="true" outlineLevel="0" collapsed="false">
      <c r="A12" s="25" t="s">
        <v>308</v>
      </c>
      <c r="B12" s="25"/>
      <c r="C12" s="25"/>
      <c r="D12" s="25"/>
      <c r="E12" s="25"/>
      <c r="F12" s="25"/>
      <c r="G12" s="25"/>
    </row>
  </sheetData>
  <mergeCells count="2">
    <mergeCell ref="A1:G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36"/>
  </cols>
  <sheetData>
    <row r="1" customFormat="false" ht="27.75" hidden="false" customHeight="true" outlineLevel="0" collapsed="false">
      <c r="A1" s="1" t="s">
        <v>309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3" t="s">
        <v>310</v>
      </c>
      <c r="B2" s="3" t="s">
        <v>311</v>
      </c>
      <c r="C2" s="3" t="s">
        <v>312</v>
      </c>
      <c r="D2" s="3" t="s">
        <v>313</v>
      </c>
      <c r="E2" s="3" t="s">
        <v>314</v>
      </c>
      <c r="F2" s="3" t="s">
        <v>315</v>
      </c>
      <c r="G2" s="3" t="s">
        <v>316</v>
      </c>
      <c r="H2" s="3" t="s">
        <v>14</v>
      </c>
    </row>
    <row r="3" customFormat="false" ht="49.5" hidden="false" customHeight="true" outlineLevel="0" collapsed="false">
      <c r="A3" s="26" t="s">
        <v>317</v>
      </c>
      <c r="B3" s="26" t="s">
        <v>318</v>
      </c>
      <c r="C3" s="26" t="s">
        <v>319</v>
      </c>
      <c r="D3" s="26" t="s">
        <v>320</v>
      </c>
      <c r="E3" s="26" t="s">
        <v>321</v>
      </c>
      <c r="F3" s="26" t="s">
        <v>322</v>
      </c>
      <c r="G3" s="26" t="s">
        <v>323</v>
      </c>
      <c r="H3" s="26" t="s">
        <v>324</v>
      </c>
    </row>
    <row r="4" customFormat="false" ht="49.5" hidden="false" customHeight="true" outlineLevel="0" collapsed="false">
      <c r="A4" s="26" t="s">
        <v>317</v>
      </c>
      <c r="B4" s="26" t="s">
        <v>325</v>
      </c>
      <c r="C4" s="26" t="s">
        <v>326</v>
      </c>
      <c r="D4" s="26" t="s">
        <v>320</v>
      </c>
      <c r="E4" s="26" t="s">
        <v>327</v>
      </c>
      <c r="F4" s="26" t="s">
        <v>328</v>
      </c>
      <c r="G4" s="26" t="s">
        <v>329</v>
      </c>
      <c r="H4" s="26" t="s">
        <v>330</v>
      </c>
    </row>
    <row r="5" customFormat="false" ht="49.5" hidden="false" customHeight="true" outlineLevel="0" collapsed="false">
      <c r="A5" s="27" t="s">
        <v>317</v>
      </c>
      <c r="B5" s="27" t="s">
        <v>331</v>
      </c>
      <c r="C5" s="27" t="s">
        <v>332</v>
      </c>
      <c r="D5" s="27" t="s">
        <v>333</v>
      </c>
      <c r="E5" s="27" t="s">
        <v>334</v>
      </c>
      <c r="F5" s="27" t="s">
        <v>335</v>
      </c>
      <c r="G5" s="27" t="s">
        <v>336</v>
      </c>
      <c r="H5" s="27" t="s">
        <v>337</v>
      </c>
    </row>
    <row r="6" customFormat="false" ht="49.5" hidden="false" customHeight="true" outlineLevel="0" collapsed="false">
      <c r="A6" s="23" t="s">
        <v>317</v>
      </c>
      <c r="B6" s="23" t="s">
        <v>338</v>
      </c>
      <c r="C6" s="23" t="s">
        <v>339</v>
      </c>
      <c r="D6" s="23" t="s">
        <v>340</v>
      </c>
      <c r="E6" s="23" t="s">
        <v>341</v>
      </c>
      <c r="F6" s="23" t="s">
        <v>342</v>
      </c>
      <c r="G6" s="23" t="s">
        <v>343</v>
      </c>
      <c r="H6" s="23" t="s">
        <v>344</v>
      </c>
    </row>
    <row r="7" customFormat="false" ht="49.5" hidden="false" customHeight="true" outlineLevel="0" collapsed="false">
      <c r="A7" s="26" t="s">
        <v>317</v>
      </c>
      <c r="B7" s="26" t="s">
        <v>345</v>
      </c>
      <c r="C7" s="26" t="s">
        <v>346</v>
      </c>
      <c r="D7" s="26" t="s">
        <v>320</v>
      </c>
      <c r="E7" s="26" t="s">
        <v>347</v>
      </c>
      <c r="F7" s="26" t="s">
        <v>21</v>
      </c>
      <c r="G7" s="26" t="s">
        <v>348</v>
      </c>
      <c r="H7" s="26" t="s">
        <v>349</v>
      </c>
    </row>
    <row r="8" customFormat="false" ht="49.5" hidden="false" customHeight="true" outlineLevel="0" collapsed="false">
      <c r="A8" s="26" t="s">
        <v>317</v>
      </c>
      <c r="B8" s="26" t="s">
        <v>350</v>
      </c>
      <c r="C8" s="26" t="s">
        <v>351</v>
      </c>
      <c r="D8" s="26" t="s">
        <v>320</v>
      </c>
      <c r="E8" s="26" t="s">
        <v>352</v>
      </c>
      <c r="F8" s="26" t="s">
        <v>21</v>
      </c>
      <c r="G8" s="26" t="s">
        <v>348</v>
      </c>
      <c r="H8" s="26" t="s">
        <v>21</v>
      </c>
    </row>
    <row r="9" customFormat="false" ht="49.5" hidden="false" customHeight="true" outlineLevel="0" collapsed="false">
      <c r="A9" s="26" t="s">
        <v>317</v>
      </c>
      <c r="B9" s="26" t="s">
        <v>353</v>
      </c>
      <c r="C9" s="26" t="s">
        <v>354</v>
      </c>
      <c r="D9" s="26" t="s">
        <v>320</v>
      </c>
      <c r="E9" s="26" t="s">
        <v>355</v>
      </c>
      <c r="F9" s="26" t="s">
        <v>356</v>
      </c>
      <c r="G9" s="26" t="s">
        <v>348</v>
      </c>
      <c r="H9" s="26" t="s">
        <v>21</v>
      </c>
    </row>
    <row r="10" customFormat="false" ht="49.5" hidden="false" customHeight="true" outlineLevel="0" collapsed="false">
      <c r="A10" s="26" t="s">
        <v>357</v>
      </c>
      <c r="B10" s="26" t="s">
        <v>358</v>
      </c>
      <c r="C10" s="26" t="s">
        <v>359</v>
      </c>
      <c r="D10" s="26" t="s">
        <v>320</v>
      </c>
      <c r="E10" s="26" t="s">
        <v>360</v>
      </c>
      <c r="F10" s="26" t="s">
        <v>361</v>
      </c>
      <c r="G10" s="26" t="s">
        <v>362</v>
      </c>
      <c r="H10" s="26" t="s">
        <v>363</v>
      </c>
    </row>
    <row r="11" customFormat="false" ht="49.5" hidden="false" customHeight="true" outlineLevel="0" collapsed="false">
      <c r="A11" s="26" t="s">
        <v>357</v>
      </c>
      <c r="B11" s="26" t="s">
        <v>364</v>
      </c>
      <c r="C11" s="26" t="s">
        <v>365</v>
      </c>
      <c r="D11" s="26" t="s">
        <v>320</v>
      </c>
      <c r="E11" s="26" t="s">
        <v>366</v>
      </c>
      <c r="F11" s="26" t="s">
        <v>367</v>
      </c>
      <c r="G11" s="26" t="s">
        <v>368</v>
      </c>
      <c r="H11" s="26" t="s">
        <v>369</v>
      </c>
    </row>
    <row r="12" customFormat="false" ht="49.5" hidden="false" customHeight="true" outlineLevel="0" collapsed="false">
      <c r="A12" s="27" t="s">
        <v>357</v>
      </c>
      <c r="B12" s="27" t="s">
        <v>370</v>
      </c>
      <c r="C12" s="27" t="s">
        <v>371</v>
      </c>
      <c r="D12" s="27" t="s">
        <v>333</v>
      </c>
      <c r="E12" s="27" t="s">
        <v>372</v>
      </c>
      <c r="F12" s="27" t="s">
        <v>373</v>
      </c>
      <c r="G12" s="27" t="s">
        <v>374</v>
      </c>
      <c r="H12" s="27" t="s">
        <v>375</v>
      </c>
    </row>
    <row r="13" customFormat="false" ht="49.5" hidden="false" customHeight="true" outlineLevel="0" collapsed="false">
      <c r="A13" s="27" t="s">
        <v>357</v>
      </c>
      <c r="B13" s="27" t="s">
        <v>376</v>
      </c>
      <c r="C13" s="27" t="s">
        <v>377</v>
      </c>
      <c r="D13" s="27" t="s">
        <v>333</v>
      </c>
      <c r="E13" s="27" t="s">
        <v>378</v>
      </c>
      <c r="F13" s="27" t="s">
        <v>379</v>
      </c>
      <c r="G13" s="27" t="s">
        <v>380</v>
      </c>
      <c r="H13" s="27" t="s">
        <v>381</v>
      </c>
    </row>
    <row r="14" customFormat="false" ht="49.5" hidden="false" customHeight="true" outlineLevel="0" collapsed="false">
      <c r="A14" s="26" t="s">
        <v>382</v>
      </c>
      <c r="B14" s="26" t="s">
        <v>383</v>
      </c>
      <c r="C14" s="26" t="s">
        <v>384</v>
      </c>
      <c r="D14" s="26" t="s">
        <v>320</v>
      </c>
      <c r="E14" s="26" t="s">
        <v>385</v>
      </c>
      <c r="F14" s="26" t="s">
        <v>386</v>
      </c>
      <c r="G14" s="26" t="s">
        <v>387</v>
      </c>
      <c r="H14" s="26" t="s">
        <v>388</v>
      </c>
    </row>
    <row r="15" customFormat="false" ht="49.5" hidden="false" customHeight="true" outlineLevel="0" collapsed="false">
      <c r="A15" s="26" t="s">
        <v>382</v>
      </c>
      <c r="B15" s="26" t="s">
        <v>389</v>
      </c>
      <c r="C15" s="26" t="s">
        <v>390</v>
      </c>
      <c r="D15" s="26" t="s">
        <v>320</v>
      </c>
      <c r="E15" s="26" t="s">
        <v>391</v>
      </c>
      <c r="F15" s="26" t="s">
        <v>21</v>
      </c>
      <c r="G15" s="26" t="s">
        <v>392</v>
      </c>
      <c r="H15" s="26" t="s">
        <v>21</v>
      </c>
    </row>
    <row r="16" customFormat="false" ht="49.5" hidden="false" customHeight="true" outlineLevel="0" collapsed="false">
      <c r="A16" s="26" t="s">
        <v>382</v>
      </c>
      <c r="B16" s="26" t="s">
        <v>393</v>
      </c>
      <c r="C16" s="26" t="s">
        <v>394</v>
      </c>
      <c r="D16" s="26" t="s">
        <v>320</v>
      </c>
      <c r="E16" s="26" t="s">
        <v>395</v>
      </c>
      <c r="F16" s="26" t="s">
        <v>396</v>
      </c>
      <c r="G16" s="26" t="s">
        <v>392</v>
      </c>
      <c r="H16" s="26" t="s">
        <v>21</v>
      </c>
    </row>
    <row r="17" customFormat="false" ht="49.5" hidden="false" customHeight="true" outlineLevel="0" collapsed="false">
      <c r="A17" s="26" t="s">
        <v>397</v>
      </c>
      <c r="B17" s="26" t="s">
        <v>398</v>
      </c>
      <c r="C17" s="26" t="s">
        <v>399</v>
      </c>
      <c r="D17" s="26" t="s">
        <v>320</v>
      </c>
      <c r="E17" s="26" t="s">
        <v>400</v>
      </c>
      <c r="F17" s="26" t="s">
        <v>21</v>
      </c>
      <c r="G17" s="26" t="s">
        <v>21</v>
      </c>
      <c r="H17" s="26" t="s">
        <v>401</v>
      </c>
    </row>
    <row r="18" customFormat="false" ht="49.5" hidden="false" customHeight="true" outlineLevel="0" collapsed="false">
      <c r="A18" s="26" t="s">
        <v>397</v>
      </c>
      <c r="B18" s="26" t="s">
        <v>402</v>
      </c>
      <c r="C18" s="26" t="s">
        <v>403</v>
      </c>
      <c r="D18" s="26" t="s">
        <v>320</v>
      </c>
      <c r="E18" s="26" t="s">
        <v>404</v>
      </c>
      <c r="F18" s="26" t="s">
        <v>405</v>
      </c>
      <c r="G18" s="26" t="s">
        <v>406</v>
      </c>
      <c r="H18" s="26" t="s">
        <v>407</v>
      </c>
    </row>
    <row r="19" customFormat="false" ht="49.5" hidden="false" customHeight="true" outlineLevel="0" collapsed="false">
      <c r="A19" s="26" t="s">
        <v>397</v>
      </c>
      <c r="B19" s="26" t="s">
        <v>408</v>
      </c>
      <c r="C19" s="26" t="s">
        <v>409</v>
      </c>
      <c r="D19" s="26" t="s">
        <v>320</v>
      </c>
      <c r="E19" s="26" t="s">
        <v>410</v>
      </c>
      <c r="F19" s="26" t="s">
        <v>21</v>
      </c>
      <c r="G19" s="26" t="s">
        <v>406</v>
      </c>
      <c r="H19" s="26" t="s">
        <v>411</v>
      </c>
    </row>
    <row r="20" customFormat="false" ht="49.5" hidden="false" customHeight="true" outlineLevel="0" collapsed="false">
      <c r="A20" s="26" t="s">
        <v>412</v>
      </c>
      <c r="B20" s="26" t="s">
        <v>413</v>
      </c>
      <c r="C20" s="26" t="s">
        <v>414</v>
      </c>
      <c r="D20" s="26" t="s">
        <v>320</v>
      </c>
      <c r="E20" s="26" t="s">
        <v>415</v>
      </c>
      <c r="F20" s="26" t="s">
        <v>416</v>
      </c>
      <c r="G20" s="26" t="s">
        <v>417</v>
      </c>
      <c r="H20" s="26" t="s">
        <v>418</v>
      </c>
    </row>
    <row r="21" customFormat="false" ht="49.5" hidden="false" customHeight="true" outlineLevel="0" collapsed="false">
      <c r="A21" s="26" t="s">
        <v>412</v>
      </c>
      <c r="B21" s="26" t="s">
        <v>419</v>
      </c>
      <c r="C21" s="26" t="s">
        <v>420</v>
      </c>
      <c r="D21" s="26" t="s">
        <v>320</v>
      </c>
      <c r="E21" s="26" t="s">
        <v>421</v>
      </c>
      <c r="F21" s="26" t="s">
        <v>422</v>
      </c>
      <c r="G21" s="26" t="s">
        <v>423</v>
      </c>
      <c r="H21" s="26" t="s">
        <v>424</v>
      </c>
    </row>
    <row r="22" customFormat="false" ht="49.5" hidden="false" customHeight="true" outlineLevel="0" collapsed="false">
      <c r="A22" s="28" t="s">
        <v>425</v>
      </c>
      <c r="B22" s="28" t="s">
        <v>426</v>
      </c>
      <c r="C22" s="28" t="s">
        <v>427</v>
      </c>
      <c r="D22" s="28" t="s">
        <v>428</v>
      </c>
      <c r="E22" s="28" t="s">
        <v>21</v>
      </c>
      <c r="F22" s="28" t="s">
        <v>21</v>
      </c>
      <c r="G22" s="28" t="s">
        <v>21</v>
      </c>
      <c r="H22" s="28" t="s">
        <v>429</v>
      </c>
    </row>
    <row r="23" customFormat="false" ht="49.5" hidden="false" customHeight="true" outlineLevel="0" collapsed="false">
      <c r="A23" s="27" t="s">
        <v>425</v>
      </c>
      <c r="B23" s="27" t="s">
        <v>430</v>
      </c>
      <c r="C23" s="27" t="s">
        <v>431</v>
      </c>
      <c r="D23" s="27" t="s">
        <v>333</v>
      </c>
      <c r="E23" s="27" t="s">
        <v>432</v>
      </c>
      <c r="F23" s="27" t="s">
        <v>433</v>
      </c>
      <c r="G23" s="27" t="s">
        <v>434</v>
      </c>
      <c r="H23" s="27" t="s">
        <v>21</v>
      </c>
    </row>
    <row r="24" customFormat="false" ht="49.5" hidden="false" customHeight="true" outlineLevel="0" collapsed="false">
      <c r="A24" s="28" t="s">
        <v>425</v>
      </c>
      <c r="B24" s="28" t="s">
        <v>435</v>
      </c>
      <c r="C24" s="28" t="s">
        <v>436</v>
      </c>
      <c r="D24" s="28" t="s">
        <v>428</v>
      </c>
      <c r="E24" s="28" t="s">
        <v>437</v>
      </c>
      <c r="F24" s="28" t="s">
        <v>438</v>
      </c>
      <c r="G24" s="28" t="s">
        <v>439</v>
      </c>
      <c r="H24" s="28" t="s">
        <v>440</v>
      </c>
    </row>
    <row r="26" customFormat="false" ht="15" hidden="false" customHeight="false" outlineLevel="0" collapsed="false">
      <c r="A26" s="29" t="s">
        <v>320</v>
      </c>
    </row>
    <row r="27" customFormat="false" ht="15" hidden="false" customHeight="false" outlineLevel="0" collapsed="false">
      <c r="A27" s="30" t="s">
        <v>333</v>
      </c>
    </row>
    <row r="28" customFormat="false" ht="15" hidden="false" customHeight="false" outlineLevel="0" collapsed="false">
      <c r="A28" s="31" t="s">
        <v>428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27.75" hidden="false" customHeight="true" outlineLevel="0" collapsed="false">
      <c r="A1" s="1" t="s">
        <v>441</v>
      </c>
      <c r="B1" s="1"/>
      <c r="C1" s="1"/>
      <c r="D1" s="1"/>
      <c r="E1" s="1"/>
    </row>
    <row r="2" customFormat="false" ht="15" hidden="false" customHeight="false" outlineLevel="0" collapsed="false">
      <c r="A2" s="32"/>
      <c r="B2" s="32" t="s">
        <v>442</v>
      </c>
      <c r="C2" s="32" t="s">
        <v>443</v>
      </c>
      <c r="D2" s="32" t="s">
        <v>444</v>
      </c>
      <c r="E2" s="32" t="s">
        <v>14</v>
      </c>
    </row>
    <row r="3" customFormat="false" ht="49.5" hidden="false" customHeight="true" outlineLevel="0" collapsed="false">
      <c r="A3" s="26" t="s">
        <v>445</v>
      </c>
      <c r="B3" s="26" t="s">
        <v>446</v>
      </c>
      <c r="C3" s="26" t="s">
        <v>447</v>
      </c>
      <c r="D3" s="26" t="s">
        <v>448</v>
      </c>
      <c r="E3" s="26" t="s">
        <v>449</v>
      </c>
    </row>
    <row r="4" customFormat="false" ht="49.5" hidden="false" customHeight="true" outlineLevel="0" collapsed="false">
      <c r="A4" s="27" t="s">
        <v>450</v>
      </c>
      <c r="B4" s="27" t="s">
        <v>451</v>
      </c>
      <c r="C4" s="27" t="s">
        <v>452</v>
      </c>
      <c r="D4" s="27" t="s">
        <v>453</v>
      </c>
      <c r="E4" s="27" t="s">
        <v>454</v>
      </c>
    </row>
    <row r="5" customFormat="false" ht="49.5" hidden="false" customHeight="true" outlineLevel="0" collapsed="false">
      <c r="A5" s="33" t="s">
        <v>455</v>
      </c>
      <c r="B5" s="33" t="s">
        <v>456</v>
      </c>
      <c r="C5" s="33" t="s">
        <v>457</v>
      </c>
      <c r="D5" s="33" t="s">
        <v>458</v>
      </c>
      <c r="E5" s="33" t="s">
        <v>459</v>
      </c>
    </row>
    <row r="6" customFormat="false" ht="49.5" hidden="false" customHeight="true" outlineLevel="0" collapsed="false">
      <c r="A6" s="28" t="s">
        <v>460</v>
      </c>
      <c r="B6" s="28" t="s">
        <v>461</v>
      </c>
      <c r="C6" s="28" t="s">
        <v>462</v>
      </c>
      <c r="D6" s="28" t="s">
        <v>463</v>
      </c>
      <c r="E6" s="28" t="s">
        <v>464</v>
      </c>
    </row>
    <row r="7" customFormat="false" ht="19.5" hidden="false" customHeight="true" outlineLevel="0" collapsed="false">
      <c r="A7" s="34"/>
      <c r="B7" s="34"/>
      <c r="C7" s="34"/>
      <c r="D7" s="34"/>
      <c r="E7" s="34"/>
    </row>
    <row r="8" customFormat="false" ht="19.5" hidden="false" customHeight="true" outlineLevel="0" collapsed="false">
      <c r="A8" s="35"/>
      <c r="B8" s="35" t="s">
        <v>465</v>
      </c>
      <c r="C8" s="35"/>
      <c r="D8" s="35"/>
      <c r="E8" s="35"/>
    </row>
    <row r="9" customFormat="false" ht="19.5" hidden="false" customHeight="true" outlineLevel="0" collapsed="false">
      <c r="A9" s="23"/>
      <c r="B9" s="23" t="s">
        <v>466</v>
      </c>
      <c r="C9" s="23" t="s">
        <v>467</v>
      </c>
      <c r="D9" s="23" t="s">
        <v>468</v>
      </c>
      <c r="E9" s="23" t="s">
        <v>469</v>
      </c>
    </row>
    <row r="10" customFormat="false" ht="19.5" hidden="false" customHeight="true" outlineLevel="0" collapsed="false">
      <c r="A10" s="23"/>
      <c r="B10" s="23" t="s">
        <v>470</v>
      </c>
      <c r="C10" s="23" t="s">
        <v>471</v>
      </c>
      <c r="D10" s="23" t="s">
        <v>472</v>
      </c>
      <c r="E10" s="23" t="s">
        <v>469</v>
      </c>
    </row>
    <row r="11" customFormat="false" ht="19.5" hidden="false" customHeight="true" outlineLevel="0" collapsed="false">
      <c r="A11" s="23"/>
      <c r="B11" s="23" t="s">
        <v>473</v>
      </c>
      <c r="C11" s="23" t="s">
        <v>474</v>
      </c>
      <c r="D11" s="23" t="s">
        <v>475</v>
      </c>
      <c r="E11" s="23" t="s">
        <v>476</v>
      </c>
    </row>
    <row r="12" customFormat="false" ht="19.5" hidden="false" customHeight="true" outlineLevel="0" collapsed="false">
      <c r="A12" s="23"/>
      <c r="B12" s="23" t="s">
        <v>477</v>
      </c>
      <c r="C12" s="23" t="s">
        <v>478</v>
      </c>
      <c r="D12" s="23" t="s">
        <v>468</v>
      </c>
      <c r="E12" s="23" t="s">
        <v>479</v>
      </c>
    </row>
    <row r="13" customFormat="false" ht="19.5" hidden="false" customHeight="true" outlineLevel="0" collapsed="false">
      <c r="A13" s="23"/>
      <c r="B13" s="23" t="s">
        <v>480</v>
      </c>
      <c r="C13" s="23" t="s">
        <v>481</v>
      </c>
      <c r="D13" s="23" t="s">
        <v>472</v>
      </c>
      <c r="E13" s="23" t="s">
        <v>482</v>
      </c>
    </row>
    <row r="14" customFormat="false" ht="19.5" hidden="false" customHeight="true" outlineLevel="0" collapsed="false">
      <c r="A14" s="23"/>
      <c r="B14" s="23" t="s">
        <v>483</v>
      </c>
      <c r="C14" s="23" t="s">
        <v>484</v>
      </c>
      <c r="D14" s="23" t="s">
        <v>485</v>
      </c>
      <c r="E14" s="23" t="s">
        <v>425</v>
      </c>
    </row>
    <row r="15" customFormat="false" ht="19.5" hidden="false" customHeight="true" outlineLevel="0" collapsed="false">
      <c r="A15" s="23"/>
      <c r="B15" s="23" t="s">
        <v>486</v>
      </c>
      <c r="C15" s="23" t="s">
        <v>487</v>
      </c>
      <c r="D15" s="23" t="s">
        <v>475</v>
      </c>
      <c r="E15" s="23" t="s">
        <v>488</v>
      </c>
    </row>
    <row r="16" customFormat="false" ht="19.5" hidden="false" customHeight="true" outlineLevel="0" collapsed="false">
      <c r="A16" s="23"/>
      <c r="B16" s="23" t="s">
        <v>489</v>
      </c>
      <c r="C16" s="23" t="s">
        <v>412</v>
      </c>
      <c r="D16" s="23" t="s">
        <v>468</v>
      </c>
      <c r="E16" s="23" t="s">
        <v>490</v>
      </c>
    </row>
    <row r="17" customFormat="false" ht="19.5" hidden="false" customHeight="true" outlineLevel="0" collapsed="false">
      <c r="A17" s="23"/>
      <c r="B17" s="23" t="s">
        <v>491</v>
      </c>
      <c r="C17" s="23" t="s">
        <v>492</v>
      </c>
      <c r="D17" s="23" t="s">
        <v>493</v>
      </c>
      <c r="E17" s="23" t="s">
        <v>494</v>
      </c>
    </row>
    <row r="18" customFormat="false" ht="19.5" hidden="false" customHeight="true" outlineLevel="0" collapsed="false">
      <c r="A18" s="23"/>
      <c r="B18" s="23" t="s">
        <v>495</v>
      </c>
      <c r="C18" s="23" t="s">
        <v>496</v>
      </c>
      <c r="D18" s="23" t="s">
        <v>475</v>
      </c>
      <c r="E18" s="23" t="s">
        <v>497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2026-03-20T13:32:59Z</dcterms:created>
  <dc:creator>openpyxl</dc:creator>
  <dc:description/>
  <dc:language>en-US</dc:language>
  <cp:lastModifiedBy/>
  <dcterms:modified xsi:type="dcterms:W3CDTF">2026-03-20T13:32:59Z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